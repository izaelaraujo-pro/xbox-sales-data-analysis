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zael\Desktop\DIO - BOOTCAMP RANDSTAD ANALISE DE DADOS\Excel and Copilot - Randstad\"/>
    </mc:Choice>
  </mc:AlternateContent>
  <xr:revisionPtr revIDLastSave="0" documentId="13_ncr:1_{E4C8A551-3556-4552-A524-166E6D5A3A04}" xr6:coauthVersionLast="47" xr6:coauthVersionMax="47" xr10:uidLastSave="{00000000-0000-0000-0000-000000000000}"/>
  <workbookProtection workbookAlgorithmName="SHA-512" workbookHashValue="eeGaNsBPPdTxSM7/SfVkzY36bGBqPJrVcL7IQZjgf6BjELIrPCfwVGLDCCWn0yQMyG3EJbtv54z0GWMULJh0VQ==" workbookSaltValue="Ysh9JnT+C967mq75y3lILA==" workbookSpinCount="100000" lockStructure="1"/>
  <bookViews>
    <workbookView xWindow="13815" yWindow="180" windowWidth="14805" windowHeight="1530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4" i="3" l="1"/>
  <c r="E42" i="3"/>
</calcChain>
</file>

<file path=xl/sharedStrings.xml><?xml version="1.0" encoding="utf-8"?>
<sst xmlns="http://schemas.openxmlformats.org/spreadsheetml/2006/main" count="2021" uniqueCount="324">
  <si>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</si>
  <si>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</si>
  <si>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</si>
  <si>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</si>
  <si>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</si>
  <si>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</si>
  <si>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</si>
  <si>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</si>
  <si>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</si>
  <si>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</si>
  <si>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</si>
  <si>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</si>
  <si>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</si>
  <si>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</si>
  <si>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</si>
  <si>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</si>
  <si>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</si>
  <si>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</si>
  <si>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</si>
  <si>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</si>
  <si>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</si>
  <si>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</si>
  <si>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</si>
  <si>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</si>
  <si>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</si>
  <si>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</si>
  <si>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</si>
  <si>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</si>
  <si>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</si>
  <si>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</si>
  <si>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</si>
  <si>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</si>
  <si>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</si>
  <si>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</si>
  <si>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</si>
  <si>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</si>
  <si>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</si>
  <si>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</si>
  <si>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</si>
  <si>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</si>
  <si>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</si>
  <si>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</si>
  <si>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</si>
  <si>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</si>
  <si>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</si>
  <si>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</si>
  <si>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</si>
  <si>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</si>
  <si>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</si>
  <si>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</si>
  <si>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</si>
  <si>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</si>
  <si>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</si>
  <si>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</si>
  <si>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</si>
  <si>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</si>
  <si>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</si>
  <si>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</si>
  <si>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</si>
  <si>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</si>
  <si>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</si>
  <si>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</si>
  <si>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</si>
  <si>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</si>
  <si>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</si>
  <si>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</si>
  <si>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</si>
  <si>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</si>
  <si>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</si>
  <si>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</si>
  <si>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</si>
  <si>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</si>
  <si>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</si>
  <si>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</si>
  <si>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</si>
  <si>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</si>
  <si>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</si>
  <si>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</si>
  <si>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</si>
  <si>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</si>
  <si>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</si>
  <si>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</si>
  <si>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</si>
  <si>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</si>
  <si>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</si>
  <si>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</si>
  <si>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</si>
  <si>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</si>
  <si>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</si>
  <si>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</si>
  <si>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</si>
  <si>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</si>
  <si>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</si>
  <si>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</si>
  <si>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</si>
  <si>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</si>
  <si>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</si>
  <si>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</si>
  <si>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</si>
  <si>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</si>
  <si>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</si>
  <si>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</si>
  <si>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</si>
  <si>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</si>
  <si>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</si>
  <si>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</si>
  <si>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</si>
  <si>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</si>
  <si>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</si>
  <si>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</si>
  <si>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</si>
  <si>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</si>
  <si>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</si>
  <si>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</si>
  <si>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</si>
  <si>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</si>
  <si>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</si>
  <si>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</si>
  <si>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</si>
  <si>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</si>
  <si>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</si>
  <si>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</si>
  <si>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</si>
  <si>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</si>
  <si>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</si>
  <si>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</si>
  <si>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</si>
  <si>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</si>
  <si>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</si>
  <si>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</si>
  <si>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</si>
  <si>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</si>
  <si>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</si>
  <si>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</si>
  <si>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</si>
  <si>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</si>
  <si>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</si>
  <si>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</si>
  <si>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</si>
  <si>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</si>
  <si>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</si>
  <si>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</si>
  <si>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</si>
  <si>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</si>
  <si>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</si>
  <si>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</si>
  <si>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</si>
  <si>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</si>
  <si>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</si>
  <si>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</si>
  <si>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</si>
  <si>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</si>
  <si>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</si>
  <si>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</si>
  <si>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</si>
  <si>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</si>
  <si>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</si>
  <si>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</si>
  <si>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</si>
  <si>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</si>
  <si>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</si>
  <si>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</si>
  <si>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</si>
  <si>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</si>
  <si>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</si>
  <si>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</si>
  <si>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</si>
  <si>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</si>
  <si>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</si>
  <si>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</si>
  <si>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</si>
  <si>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</si>
  <si>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</si>
  <si>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</si>
  <si>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</si>
  <si>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</si>
  <si>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</si>
  <si>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</si>
  <si>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</si>
  <si>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</si>
  <si>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</si>
  <si>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</si>
  <si>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</si>
  <si>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</si>
  <si>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</si>
  <si>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</si>
  <si>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</si>
  <si>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</si>
  <si>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</si>
  <si>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</si>
  <si>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</si>
  <si>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</si>
  <si>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</si>
  <si>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</si>
  <si>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</si>
  <si>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</si>
  <si>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</si>
  <si>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</si>
  <si>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</si>
  <si>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</si>
  <si>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</si>
  <si>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</si>
  <si>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</si>
  <si>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</si>
  <si>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</si>
  <si>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</si>
  <si>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</si>
  <si>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</si>
  <si>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</si>
  <si>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</si>
  <si>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</si>
  <si>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</si>
  <si>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</si>
  <si>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</si>
  <si>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</si>
  <si>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</si>
  <si>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</si>
  <si>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</si>
  <si>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</si>
  <si>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</si>
  <si>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</si>
  <si>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</si>
  <si>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</si>
  <si>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</si>
  <si>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</si>
  <si>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</si>
  <si>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</si>
  <si>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</si>
  <si>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</si>
  <si>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</si>
  <si>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</si>
  <si>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</si>
  <si>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</si>
  <si>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</si>
  <si>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</si>
  <si>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</si>
  <si>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</si>
  <si>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</si>
  <si>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</si>
  <si>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</si>
  <si>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</si>
  <si>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</si>
  <si>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</si>
  <si>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</si>
  <si>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</si>
  <si>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</si>
  <si>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</si>
  <si>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</si>
  <si>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</si>
  <si>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</si>
  <si>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</si>
  <si>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</si>
  <si>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</si>
  <si>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</si>
  <si>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</si>
  <si>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</si>
  <si>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</si>
  <si>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</si>
  <si>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</si>
  <si>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</si>
  <si>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</si>
  <si>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</si>
  <si>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</si>
  <si>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</si>
  <si>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</si>
  <si>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</si>
  <si>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</si>
  <si>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</si>
  <si>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</si>
  <si>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</si>
  <si>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</si>
  <si>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</si>
  <si>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</si>
  <si>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</si>
  <si>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</si>
  <si>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</si>
  <si>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</si>
  <si>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</si>
  <si>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</si>
  <si>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</si>
  <si>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</si>
  <si>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</si>
  <si>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</si>
  <si>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</si>
  <si>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</si>
  <si>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</si>
  <si>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</si>
  <si>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</si>
  <si>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</si>
  <si>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</si>
  <si>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</si>
  <si>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</si>
  <si>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</si>
  <si>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</si>
  <si>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</si>
  <si>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</si>
  <si>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</si>
  <si>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</si>
  <si>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</si>
  <si>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</si>
  <si>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</si>
  <si>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</si>
  <si>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</si>
  <si>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</si>
  <si>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</si>
  <si>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</si>
  <si>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</si>
  <si>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</si>
  <si>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</si>
  <si>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</si>
  <si>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</si>
  <si>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</si>
  <si>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</si>
  <si>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</si>
  <si>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</si>
  <si>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</si>
  <si>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2: QUAL FATURAMENTO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 xml:space="preserve">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OU NÃO É POR AUTO RENOVAÇÃO.</t>
    </r>
  </si>
  <si>
    <r>
      <t xml:space="preserve">PERGUNTA 1: QUAL FATURAMENTO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>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(CONTENDO TODAS AS ASSINATURAS AGREGADAS).</t>
    </r>
  </si>
  <si>
    <t>Soma de EA Play Season Pass</t>
  </si>
  <si>
    <t>PERGUNTA NEGÓCIO 3 - Total de Vendas de Assinaturas do EA Play</t>
  </si>
  <si>
    <t>PERGUNTA 4 - Total de Assinaturas do Minecraft Season Pass</t>
  </si>
  <si>
    <t>Soma de Minecraft Season Pass Price</t>
  </si>
  <si>
    <t xml:space="preserve">        XBOX GAME PASS SUBSCRIPTIONS SALES</t>
  </si>
  <si>
    <t>Welcome, Léo!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</si>
</sst>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2AE681"/>
      <name val="Segoe UI"/>
      <family val="2"/>
    </font>
    <font>
      <b/>
      <sz val="11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rgb="FF2AE68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44" fontId="0" fillId="0" borderId="0" xfId="0" applyNumberFormat="1"/>
    <xf numFmtId="0" fontId="0" fillId="7" borderId="0" xfId="0" applyFill="1" applyBorder="1"/>
    <xf numFmtId="0" fontId="0" fillId="5" borderId="2" xfId="0" applyFill="1" applyBorder="1"/>
    <xf numFmtId="0" fontId="0" fillId="0" borderId="0" xfId="0" applyNumberFormat="1"/>
    <xf numFmtId="44" fontId="0" fillId="0" borderId="0" xfId="2" applyFont="1"/>
    <xf numFmtId="0" fontId="4" fillId="0" borderId="3" xfId="1" applyFont="1" applyBorder="1"/>
    <xf numFmtId="0" fontId="5" fillId="5" borderId="2" xfId="0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113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2"/>
        <color theme="0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FFFF00"/>
        </patternFill>
      </fill>
    </dxf>
  </dxfs>
  <tableStyles count="4" defaultTableStyle="TableStyleMedium2" defaultPivotStyle="PivotStyleLight16">
    <tableStyle name="Estilo de Segmentação de Dados 1" pivot="0" table="0" count="0" xr9:uid="{2C281977-B6C3-47C7-84FE-AE439A81A96E}"/>
    <tableStyle name="Estilo de Segmentação de Dados 2" pivot="0" table="0" count="0" xr9:uid="{A0866C42-D48E-431A-B539-C4854E938CB5}"/>
    <tableStyle name="Estilo de Segmentação de Dados 3" pivot="0" table="0" count="1" xr9:uid="{E30CB8E0-BF0C-49BF-8497-93022E793BE7}">
      <tableStyleElement type="headerRow" dxfId="112"/>
    </tableStyle>
    <tableStyle name="SlicerStyleLight3 2" pivot="0" table="0" count="10" xr9:uid="{6E2C7558-02A7-43FE-AFF7-E1E680769561}">
      <tableStyleElement type="wholeTable" dxfId="111"/>
      <tableStyleElement type="headerRow" dxfId="110"/>
    </tableStyle>
  </tableStyles>
  <colors>
    <mruColors>
      <color rgb="FF2AE6B1"/>
      <color rgb="FF5BF6A8"/>
      <color rgb="FFE8E6E9"/>
      <color rgb="FF2AE681"/>
      <color rgb="FF22C55E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[xbox_data_analysis.xlsx]C̳álculos!tbl_annual_total</c:name>
    <c:fmtId val="0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multiLvlStrRef>
              <c:f>C̳álculos!$B$12:$B$15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Annual</c:v>
                  </c:pt>
                </c:lvl>
              </c:multiLvlStrCache>
            </c:multiLvlStrRef>
          </c:cat>
          <c:val>
            <c:numRef>
              <c:f>C̳álculos!$C$12:$C$15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F-4E9B-B749-51386C3DB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4397791"/>
        <c:axId val="664398751"/>
      </c:barChart>
      <c:catAx>
        <c:axId val="66439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4398751"/>
        <c:crosses val="autoZero"/>
        <c:auto val="1"/>
        <c:lblAlgn val="ctr"/>
        <c:lblOffset val="100"/>
        <c:noMultiLvlLbl val="0"/>
      </c:catAx>
      <c:valAx>
        <c:axId val="66439875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6439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[xbox_data_analysis.xlsx]C̳álculos!tbl_annual_total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159935678856587E-2"/>
          <c:y val="8.2585047968197961E-2"/>
          <c:w val="0.90623926682497769"/>
          <c:h val="0.917414952031802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multiLvlStrRef>
              <c:f>C̳álculos!$B$12:$B$15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Annual</c:v>
                  </c:pt>
                </c:lvl>
              </c:multiLvlStrCache>
            </c:multiLvlStrRef>
          </c:cat>
          <c:val>
            <c:numRef>
              <c:f>C̳álculos!$C$12:$C$15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6-43D0-8F71-3F4ED25D8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4397791"/>
        <c:axId val="664398751"/>
      </c:barChart>
      <c:catAx>
        <c:axId val="66439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4398751"/>
        <c:crosses val="autoZero"/>
        <c:auto val="1"/>
        <c:lblAlgn val="ctr"/>
        <c:lblOffset val="100"/>
        <c:noMultiLvlLbl val="0"/>
      </c:catAx>
      <c:valAx>
        <c:axId val="66439875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6439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chart" Target="../charts/chart2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604837</xdr:colOff>
      <xdr:row>16</xdr:row>
      <xdr:rowOff>171450</xdr:rowOff>
    </xdr:from>
    <xdr:to>
      <xdr:col>4</xdr:col>
      <xdr:colOff>14287</xdr:colOff>
      <xdr:row>31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B34191-E468-2F71-249F-005B32A3F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38100</xdr:colOff>
      <xdr:row>17</xdr:row>
      <xdr:rowOff>0</xdr:rowOff>
    </xdr:from>
    <xdr:to>
      <xdr:col>6</xdr:col>
      <xdr:colOff>171450</xdr:colOff>
      <xdr:row>23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49AD6E50-ACD0-EB56-F5B5-7355C71671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00650" y="3238500"/>
              <a:ext cx="1828800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33924</xdr:rowOff>
    </xdr:from>
    <xdr:to>
      <xdr:col>0</xdr:col>
      <xdr:colOff>1828800</xdr:colOff>
      <xdr:row>16</xdr:row>
      <xdr:rowOff>131775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A80A370B-FEAD-48BA-9762-312FE0847C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85295"/>
              <a:ext cx="1828800" cy="19874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234669</xdr:colOff>
      <xdr:row>6</xdr:row>
      <xdr:rowOff>1776</xdr:rowOff>
    </xdr:from>
    <xdr:to>
      <xdr:col>13</xdr:col>
      <xdr:colOff>186971</xdr:colOff>
      <xdr:row>17</xdr:row>
      <xdr:rowOff>152448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AC68310F-F727-3F32-10A2-4B23EF5C9E94}"/>
            </a:ext>
          </a:extLst>
        </xdr:cNvPr>
        <xdr:cNvGrpSpPr/>
      </xdr:nvGrpSpPr>
      <xdr:grpSpPr>
        <a:xfrm>
          <a:off x="2324024" y="1630244"/>
          <a:ext cx="6542987" cy="2347567"/>
          <a:chOff x="2321720" y="1416844"/>
          <a:chExt cx="6465092" cy="239315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EEBF2709-7A1F-2411-34C5-B105076B3410}"/>
              </a:ext>
            </a:extLst>
          </xdr:cNvPr>
          <xdr:cNvSpPr/>
        </xdr:nvSpPr>
        <xdr:spPr>
          <a:xfrm>
            <a:off x="2321720" y="1440656"/>
            <a:ext cx="6465092" cy="236934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990</a:t>
            </a:r>
          </a:p>
        </xdr:txBody>
      </xdr:sp>
      <xdr:sp macro="" textlink="C̳álculos!E42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BCABF07A-FCED-4651-BDE9-469C6CAE072E}"/>
              </a:ext>
            </a:extLst>
          </xdr:cNvPr>
          <xdr:cNvSpPr/>
        </xdr:nvSpPr>
        <xdr:spPr>
          <a:xfrm>
            <a:off x="3857626" y="2083592"/>
            <a:ext cx="4286251" cy="1464469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082491E-B475-42B8-B798-F0D37D4D6E77}" type="TxLink">
              <a:rPr lang="en-US" sz="4800" b="0" i="0" u="none" strike="noStrike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R$ 600,00 </a:t>
            </a:fld>
            <a:endParaRPr lang="pt-BR" sz="4800" b="0">
              <a:solidFill>
                <a:srgbClr val="2AE6B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421EAB88-7F61-46F9-B4F7-7C403D833D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7936" y="2107405"/>
            <a:ext cx="1476376" cy="1476376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49B43BF9-5F01-9862-2EC1-301BB6FE049C}"/>
              </a:ext>
            </a:extLst>
          </xdr:cNvPr>
          <xdr:cNvSpPr/>
        </xdr:nvSpPr>
        <xdr:spPr>
          <a:xfrm>
            <a:off x="2321720" y="1416844"/>
            <a:ext cx="6462507" cy="619125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6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14</xdr:col>
      <xdr:colOff>51487</xdr:colOff>
      <xdr:row>6</xdr:row>
      <xdr:rowOff>5675</xdr:rowOff>
    </xdr:from>
    <xdr:to>
      <xdr:col>24</xdr:col>
      <xdr:colOff>441497</xdr:colOff>
      <xdr:row>17</xdr:row>
      <xdr:rowOff>148549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7F93CBCA-F1A6-D383-838C-DEB2BD0866ED}"/>
            </a:ext>
          </a:extLst>
        </xdr:cNvPr>
        <xdr:cNvGrpSpPr/>
      </xdr:nvGrpSpPr>
      <xdr:grpSpPr>
        <a:xfrm>
          <a:off x="9346043" y="1634143"/>
          <a:ext cx="6535172" cy="2339769"/>
          <a:chOff x="9318182" y="1404534"/>
          <a:chExt cx="6524756" cy="2435332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7E3A3463-E880-4FDF-8C1A-9360C0BEF615}"/>
              </a:ext>
            </a:extLst>
          </xdr:cNvPr>
          <xdr:cNvGrpSpPr/>
        </xdr:nvGrpSpPr>
        <xdr:grpSpPr>
          <a:xfrm>
            <a:off x="9318182" y="1404534"/>
            <a:ext cx="6524756" cy="2435332"/>
            <a:chOff x="2321720" y="1416844"/>
            <a:chExt cx="6465092" cy="2393155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0B1A0376-15D1-C67F-D038-2F65C7952492}"/>
                </a:ext>
              </a:extLst>
            </xdr:cNvPr>
            <xdr:cNvSpPr/>
          </xdr:nvSpPr>
          <xdr:spPr>
            <a:xfrm>
              <a:off x="2321720" y="1440656"/>
              <a:ext cx="6465092" cy="2369343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990</a:t>
              </a:r>
            </a:p>
          </xdr:txBody>
        </xdr:sp>
        <xdr:sp macro="" textlink="C̳álculos!F54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39A7D387-60E7-470F-1894-0B5C788BFA87}"/>
                </a:ext>
              </a:extLst>
            </xdr:cNvPr>
            <xdr:cNvSpPr/>
          </xdr:nvSpPr>
          <xdr:spPr>
            <a:xfrm>
              <a:off x="3857626" y="2083592"/>
              <a:ext cx="4286251" cy="1464469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D0EDF88-C384-4632-9B11-A99016B3783F}" type="TxLink">
                <a:rPr lang="en-US" sz="4800" b="0" i="0" u="none" strike="noStrike">
                  <a:solidFill>
                    <a:srgbClr val="2AE6B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R$ 940,00 </a:t>
              </a:fld>
              <a:endParaRPr lang="pt-BR" sz="4800" b="0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FACE1EA7-4636-3611-DABD-5E0BB2144EBD}"/>
                </a:ext>
              </a:extLst>
            </xdr:cNvPr>
            <xdr:cNvSpPr/>
          </xdr:nvSpPr>
          <xdr:spPr>
            <a:xfrm>
              <a:off x="2321720" y="1416844"/>
              <a:ext cx="6453186" cy="619125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6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6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911DFDD3-E23A-44AB-97EA-83607A71BE28}"/>
              </a:ext>
            </a:extLst>
          </xdr:cNvPr>
          <xdr:cNvGrpSpPr/>
        </xdr:nvGrpSpPr>
        <xdr:grpSpPr>
          <a:xfrm>
            <a:off x="9755817" y="2392376"/>
            <a:ext cx="1536387" cy="806581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A34FDF27-BD73-B3CC-C26B-11184B48145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27270C05-8CB6-C7EE-A12D-DB6D726CAC8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177427</xdr:colOff>
      <xdr:row>21</xdr:row>
      <xdr:rowOff>87529</xdr:rowOff>
    </xdr:from>
    <xdr:to>
      <xdr:col>24</xdr:col>
      <xdr:colOff>392145</xdr:colOff>
      <xdr:row>44</xdr:row>
      <xdr:rowOff>17708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F420F4A8-84DD-6049-90A7-12FDED9B90AF}"/>
            </a:ext>
          </a:extLst>
        </xdr:cNvPr>
        <xdr:cNvGrpSpPr/>
      </xdr:nvGrpSpPr>
      <xdr:grpSpPr>
        <a:xfrm>
          <a:off x="2266782" y="4650311"/>
          <a:ext cx="13565081" cy="4170341"/>
          <a:chOff x="2358960" y="4681037"/>
          <a:chExt cx="13565081" cy="4170341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C48D6E78-DA5F-7BC9-AB0E-A7B86D6B1051}"/>
              </a:ext>
            </a:extLst>
          </xdr:cNvPr>
          <xdr:cNvGrpSpPr/>
        </xdr:nvGrpSpPr>
        <xdr:grpSpPr>
          <a:xfrm>
            <a:off x="2358960" y="4681037"/>
            <a:ext cx="13548936" cy="4170341"/>
            <a:chOff x="2309812" y="1345406"/>
            <a:chExt cx="5191125" cy="355627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27F28268-4C57-247F-B1A8-71590C70517B}"/>
                </a:ext>
              </a:extLst>
            </xdr:cNvPr>
            <xdr:cNvSpPr/>
          </xdr:nvSpPr>
          <xdr:spPr>
            <a:xfrm>
              <a:off x="2309812" y="1345406"/>
              <a:ext cx="5191125" cy="355627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29D00FA1-FCDB-4162-B2CF-D990AA34519B}"/>
                </a:ext>
              </a:extLst>
            </xdr:cNvPr>
            <xdr:cNvGraphicFramePr>
              <a:graphicFrameLocks/>
            </xdr:cNvGraphicFramePr>
          </xdr:nvGraphicFramePr>
          <xdr:xfrm>
            <a:off x="2672706" y="1836980"/>
            <a:ext cx="4572001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F1662390-FBC2-4B2F-A951-49126B41EF83}"/>
              </a:ext>
            </a:extLst>
          </xdr:cNvPr>
          <xdr:cNvSpPr/>
        </xdr:nvSpPr>
        <xdr:spPr>
          <a:xfrm>
            <a:off x="2358960" y="4681037"/>
            <a:ext cx="13565081" cy="601915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6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539434</xdr:colOff>
      <xdr:row>1</xdr:row>
      <xdr:rowOff>131379</xdr:rowOff>
    </xdr:from>
    <xdr:to>
      <xdr:col>0</xdr:col>
      <xdr:colOff>1265918</xdr:colOff>
      <xdr:row>2</xdr:row>
      <xdr:rowOff>325108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417989E2-6999-4C34-9644-112A588AB261}"/>
            </a:ext>
          </a:extLst>
        </xdr:cNvPr>
        <xdr:cNvSpPr/>
      </xdr:nvSpPr>
      <xdr:spPr>
        <a:xfrm>
          <a:off x="539434" y="317500"/>
          <a:ext cx="726484" cy="686401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2</xdr:col>
      <xdr:colOff>87587</xdr:colOff>
      <xdr:row>1</xdr:row>
      <xdr:rowOff>65689</xdr:rowOff>
    </xdr:from>
    <xdr:to>
      <xdr:col>2</xdr:col>
      <xdr:colOff>569312</xdr:colOff>
      <xdr:row>1</xdr:row>
      <xdr:rowOff>553626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AB054D94-E009-47C1-911B-FE60E9CAD3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67469" b="-8292"/>
        <a:stretch/>
      </xdr:blipFill>
      <xdr:spPr>
        <a:xfrm>
          <a:off x="2167759" y="251810"/>
          <a:ext cx="481725" cy="487937"/>
        </a:xfrm>
        <a:prstGeom prst="rect">
          <a:avLst/>
        </a:prstGeom>
      </xdr:spPr>
    </xdr:pic>
    <xdr:clientData/>
  </xdr:twoCellAnchor>
  <xdr:twoCellAnchor editAs="absolute">
    <xdr:from>
      <xdr:col>1</xdr:col>
      <xdr:colOff>76815</xdr:colOff>
      <xdr:row>3</xdr:row>
      <xdr:rowOff>46088</xdr:rowOff>
    </xdr:from>
    <xdr:to>
      <xdr:col>9</xdr:col>
      <xdr:colOff>30725</xdr:colOff>
      <xdr:row>5</xdr:row>
      <xdr:rowOff>76814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9CA2DC52-F20D-410D-FE72-4C41490BCD7C}"/>
            </a:ext>
          </a:extLst>
        </xdr:cNvPr>
        <xdr:cNvSpPr txBox="1"/>
      </xdr:nvSpPr>
      <xdr:spPr>
        <a:xfrm>
          <a:off x="1920363" y="1198306"/>
          <a:ext cx="4501330" cy="3687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aseline="0"/>
            <a:t>APURATE: 01/01/2024 - 31/12/2024 | Update date: 25/12/2024 00:00:00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zael Araújo" refreshedDate="45966.705588888886" createdVersion="8" refreshedVersion="8" minRefreshableVersion="3" recordCount="295" xr:uid="{03C0897F-84D0-4667-B4B5-FF848642566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733241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x v="0"/>
    <x v="0"/>
    <n v="20"/>
    <n v="5"/>
    <n v="60"/>
  </r>
  <r>
    <n v="3232"/>
    <x v="1"/>
    <x v="1"/>
    <d v="2024-01-15T00:00:00"/>
    <x v="1"/>
    <x v="1"/>
    <x v="1"/>
    <s v="No"/>
    <x v="1"/>
    <x v="1"/>
    <n v="0"/>
    <n v="0"/>
    <n v="5"/>
  </r>
  <r>
    <n v="3233"/>
    <x v="2"/>
    <x v="2"/>
    <d v="2024-02-10T00:00:00"/>
    <x v="0"/>
    <x v="2"/>
    <x v="2"/>
    <s v="No"/>
    <x v="1"/>
    <x v="0"/>
    <n v="20"/>
    <n v="10"/>
    <n v="20"/>
  </r>
  <r>
    <n v="3234"/>
    <x v="3"/>
    <x v="0"/>
    <d v="2024-02-20T00:00:00"/>
    <x v="1"/>
    <x v="0"/>
    <x v="0"/>
    <s v="Yes"/>
    <x v="0"/>
    <x v="0"/>
    <n v="20"/>
    <n v="3"/>
    <n v="62"/>
  </r>
  <r>
    <n v="3235"/>
    <x v="4"/>
    <x v="1"/>
    <d v="2024-03-05T00:00:00"/>
    <x v="0"/>
    <x v="1"/>
    <x v="0"/>
    <s v="No"/>
    <x v="1"/>
    <x v="1"/>
    <n v="0"/>
    <n v="1"/>
    <n v="4"/>
  </r>
  <r>
    <n v="3236"/>
    <x v="5"/>
    <x v="2"/>
    <d v="2024-03-02T00:00:00"/>
    <x v="1"/>
    <x v="2"/>
    <x v="0"/>
    <s v="No"/>
    <x v="1"/>
    <x v="0"/>
    <n v="20"/>
    <n v="2"/>
    <n v="28"/>
  </r>
  <r>
    <n v="3237"/>
    <x v="6"/>
    <x v="0"/>
    <d v="2024-03-03T00:00:00"/>
    <x v="0"/>
    <x v="0"/>
    <x v="2"/>
    <s v="Yes"/>
    <x v="0"/>
    <x v="0"/>
    <n v="20"/>
    <n v="10"/>
    <n v="55"/>
  </r>
  <r>
    <n v="3238"/>
    <x v="7"/>
    <x v="1"/>
    <d v="2024-03-04T00:00:00"/>
    <x v="0"/>
    <x v="1"/>
    <x v="1"/>
    <s v="No"/>
    <x v="1"/>
    <x v="1"/>
    <n v="0"/>
    <n v="0"/>
    <n v="5"/>
  </r>
  <r>
    <n v="3239"/>
    <x v="8"/>
    <x v="0"/>
    <d v="2024-03-05T00:00:00"/>
    <x v="1"/>
    <x v="0"/>
    <x v="0"/>
    <s v="Yes"/>
    <x v="0"/>
    <x v="0"/>
    <n v="20"/>
    <n v="5"/>
    <n v="60"/>
  </r>
  <r>
    <n v="3240"/>
    <x v="9"/>
    <x v="2"/>
    <d v="2024-03-06T00:00:00"/>
    <x v="0"/>
    <x v="2"/>
    <x v="2"/>
    <s v="No"/>
    <x v="1"/>
    <x v="0"/>
    <n v="20"/>
    <n v="15"/>
    <n v="15"/>
  </r>
  <r>
    <n v="3241"/>
    <x v="10"/>
    <x v="1"/>
    <d v="2024-03-07T00:00:00"/>
    <x v="1"/>
    <x v="1"/>
    <x v="0"/>
    <s v="No"/>
    <x v="1"/>
    <x v="1"/>
    <n v="0"/>
    <n v="1"/>
    <n v="4"/>
  </r>
  <r>
    <n v="3242"/>
    <x v="11"/>
    <x v="0"/>
    <d v="2024-03-08T00:00:00"/>
    <x v="0"/>
    <x v="0"/>
    <x v="1"/>
    <s v="Yes"/>
    <x v="0"/>
    <x v="0"/>
    <n v="20"/>
    <n v="20"/>
    <n v="45"/>
  </r>
  <r>
    <n v="3243"/>
    <x v="12"/>
    <x v="2"/>
    <d v="2024-03-09T00:00:00"/>
    <x v="1"/>
    <x v="2"/>
    <x v="0"/>
    <s v="No"/>
    <x v="1"/>
    <x v="0"/>
    <n v="20"/>
    <n v="10"/>
    <n v="20"/>
  </r>
  <r>
    <n v="3244"/>
    <x v="13"/>
    <x v="1"/>
    <d v="2024-03-10T00:00:00"/>
    <x v="0"/>
    <x v="1"/>
    <x v="2"/>
    <s v="No"/>
    <x v="1"/>
    <x v="1"/>
    <n v="0"/>
    <n v="0"/>
    <n v="5"/>
  </r>
  <r>
    <n v="3245"/>
    <x v="14"/>
    <x v="0"/>
    <d v="2024-03-11T00:00:00"/>
    <x v="1"/>
    <x v="0"/>
    <x v="0"/>
    <s v="Yes"/>
    <x v="0"/>
    <x v="0"/>
    <n v="20"/>
    <n v="8"/>
    <n v="57"/>
  </r>
  <r>
    <n v="3246"/>
    <x v="15"/>
    <x v="2"/>
    <d v="2024-03-12T00:00:00"/>
    <x v="0"/>
    <x v="2"/>
    <x v="1"/>
    <s v="No"/>
    <x v="1"/>
    <x v="0"/>
    <n v="20"/>
    <n v="12"/>
    <n v="18"/>
  </r>
  <r>
    <n v="3247"/>
    <x v="16"/>
    <x v="1"/>
    <d v="2024-03-13T00:00:00"/>
    <x v="1"/>
    <x v="1"/>
    <x v="0"/>
    <s v="No"/>
    <x v="1"/>
    <x v="1"/>
    <n v="0"/>
    <n v="2"/>
    <n v="3"/>
  </r>
  <r>
    <n v="3248"/>
    <x v="17"/>
    <x v="0"/>
    <d v="2024-03-14T00:00:00"/>
    <x v="0"/>
    <x v="0"/>
    <x v="2"/>
    <s v="Yes"/>
    <x v="0"/>
    <x v="0"/>
    <n v="20"/>
    <n v="7"/>
    <n v="58"/>
  </r>
  <r>
    <n v="3249"/>
    <x v="18"/>
    <x v="2"/>
    <d v="2024-03-15T00:00:00"/>
    <x v="1"/>
    <x v="2"/>
    <x v="0"/>
    <s v="No"/>
    <x v="1"/>
    <x v="0"/>
    <n v="20"/>
    <n v="5"/>
    <n v="25"/>
  </r>
  <r>
    <n v="3250"/>
    <x v="19"/>
    <x v="1"/>
    <d v="2024-03-16T00:00:00"/>
    <x v="0"/>
    <x v="1"/>
    <x v="1"/>
    <s v="No"/>
    <x v="1"/>
    <x v="1"/>
    <n v="0"/>
    <n v="0"/>
    <n v="5"/>
  </r>
  <r>
    <n v="3251"/>
    <x v="20"/>
    <x v="0"/>
    <d v="2024-03-17T00:00:00"/>
    <x v="1"/>
    <x v="0"/>
    <x v="0"/>
    <s v="Yes"/>
    <x v="0"/>
    <x v="0"/>
    <n v="20"/>
    <n v="3"/>
    <n v="62"/>
  </r>
  <r>
    <n v="3252"/>
    <x v="21"/>
    <x v="2"/>
    <d v="2024-03-18T00:00:00"/>
    <x v="0"/>
    <x v="2"/>
    <x v="2"/>
    <s v="No"/>
    <x v="1"/>
    <x v="0"/>
    <n v="20"/>
    <n v="15"/>
    <n v="15"/>
  </r>
  <r>
    <n v="3253"/>
    <x v="22"/>
    <x v="1"/>
    <d v="2024-03-19T00:00:00"/>
    <x v="1"/>
    <x v="1"/>
    <x v="0"/>
    <s v="No"/>
    <x v="1"/>
    <x v="1"/>
    <n v="0"/>
    <n v="1"/>
    <n v="4"/>
  </r>
  <r>
    <n v="3254"/>
    <x v="23"/>
    <x v="0"/>
    <d v="2024-03-20T00:00:00"/>
    <x v="0"/>
    <x v="0"/>
    <x v="1"/>
    <s v="Yes"/>
    <x v="0"/>
    <x v="0"/>
    <n v="20"/>
    <n v="20"/>
    <n v="45"/>
  </r>
  <r>
    <n v="3255"/>
    <x v="24"/>
    <x v="2"/>
    <d v="2024-03-21T00:00:00"/>
    <x v="1"/>
    <x v="2"/>
    <x v="0"/>
    <s v="No"/>
    <x v="1"/>
    <x v="0"/>
    <n v="20"/>
    <n v="10"/>
    <n v="20"/>
  </r>
  <r>
    <n v="3256"/>
    <x v="25"/>
    <x v="1"/>
    <d v="2024-03-22T00:00:00"/>
    <x v="0"/>
    <x v="1"/>
    <x v="2"/>
    <s v="No"/>
    <x v="1"/>
    <x v="1"/>
    <n v="0"/>
    <n v="0"/>
    <n v="5"/>
  </r>
  <r>
    <n v="3257"/>
    <x v="26"/>
    <x v="0"/>
    <d v="2024-03-23T00:00:00"/>
    <x v="1"/>
    <x v="0"/>
    <x v="0"/>
    <s v="Yes"/>
    <x v="0"/>
    <x v="0"/>
    <n v="20"/>
    <n v="5"/>
    <n v="60"/>
  </r>
  <r>
    <n v="3258"/>
    <x v="27"/>
    <x v="2"/>
    <d v="2024-03-24T00:00:00"/>
    <x v="0"/>
    <x v="2"/>
    <x v="1"/>
    <s v="No"/>
    <x v="1"/>
    <x v="0"/>
    <n v="20"/>
    <n v="15"/>
    <n v="15"/>
  </r>
  <r>
    <n v="3259"/>
    <x v="28"/>
    <x v="1"/>
    <d v="2024-03-25T00:00:00"/>
    <x v="1"/>
    <x v="1"/>
    <x v="0"/>
    <s v="No"/>
    <x v="1"/>
    <x v="1"/>
    <n v="0"/>
    <n v="1"/>
    <n v="4"/>
  </r>
  <r>
    <n v="3260"/>
    <x v="29"/>
    <x v="0"/>
    <d v="2024-03-26T00:00:00"/>
    <x v="0"/>
    <x v="0"/>
    <x v="2"/>
    <s v="Yes"/>
    <x v="0"/>
    <x v="0"/>
    <n v="20"/>
    <n v="7"/>
    <n v="58"/>
  </r>
  <r>
    <n v="3261"/>
    <x v="30"/>
    <x v="2"/>
    <d v="2024-03-27T00:00:00"/>
    <x v="1"/>
    <x v="2"/>
    <x v="0"/>
    <s v="No"/>
    <x v="1"/>
    <x v="0"/>
    <n v="20"/>
    <n v="10"/>
    <n v="20"/>
  </r>
  <r>
    <n v="3262"/>
    <x v="31"/>
    <x v="1"/>
    <d v="2024-03-28T00:00:00"/>
    <x v="0"/>
    <x v="1"/>
    <x v="1"/>
    <s v="No"/>
    <x v="1"/>
    <x v="1"/>
    <n v="0"/>
    <n v="0"/>
    <n v="5"/>
  </r>
  <r>
    <n v="3263"/>
    <x v="32"/>
    <x v="0"/>
    <d v="2024-03-29T00:00:00"/>
    <x v="1"/>
    <x v="0"/>
    <x v="0"/>
    <s v="Yes"/>
    <x v="0"/>
    <x v="0"/>
    <n v="20"/>
    <n v="3"/>
    <n v="62"/>
  </r>
  <r>
    <n v="3264"/>
    <x v="33"/>
    <x v="2"/>
    <d v="2024-03-30T00:00:00"/>
    <x v="0"/>
    <x v="2"/>
    <x v="2"/>
    <s v="No"/>
    <x v="1"/>
    <x v="0"/>
    <n v="20"/>
    <n v="15"/>
    <n v="15"/>
  </r>
  <r>
    <n v="3265"/>
    <x v="34"/>
    <x v="1"/>
    <d v="2024-03-31T00:00:00"/>
    <x v="1"/>
    <x v="1"/>
    <x v="0"/>
    <s v="No"/>
    <x v="1"/>
    <x v="1"/>
    <n v="0"/>
    <n v="1"/>
    <n v="4"/>
  </r>
  <r>
    <n v="3266"/>
    <x v="35"/>
    <x v="1"/>
    <d v="2024-04-01T00:00:00"/>
    <x v="0"/>
    <x v="1"/>
    <x v="0"/>
    <s v="No"/>
    <x v="1"/>
    <x v="1"/>
    <n v="0"/>
    <n v="0"/>
    <n v="5"/>
  </r>
  <r>
    <n v="3267"/>
    <x v="36"/>
    <x v="0"/>
    <d v="2024-04-02T00:00:00"/>
    <x v="1"/>
    <x v="0"/>
    <x v="2"/>
    <s v="Yes"/>
    <x v="0"/>
    <x v="0"/>
    <n v="20"/>
    <n v="7"/>
    <n v="58"/>
  </r>
  <r>
    <n v="3268"/>
    <x v="37"/>
    <x v="2"/>
    <d v="2024-04-03T00:00:00"/>
    <x v="0"/>
    <x v="2"/>
    <x v="1"/>
    <s v="No"/>
    <x v="1"/>
    <x v="0"/>
    <n v="20"/>
    <n v="10"/>
    <n v="20"/>
  </r>
  <r>
    <n v="3269"/>
    <x v="38"/>
    <x v="1"/>
    <d v="2024-04-04T00:00:00"/>
    <x v="1"/>
    <x v="1"/>
    <x v="2"/>
    <s v="No"/>
    <x v="1"/>
    <x v="1"/>
    <n v="0"/>
    <n v="1"/>
    <n v="4"/>
  </r>
  <r>
    <n v="3270"/>
    <x v="39"/>
    <x v="0"/>
    <d v="2024-04-05T00:00:00"/>
    <x v="0"/>
    <x v="0"/>
    <x v="0"/>
    <s v="Yes"/>
    <x v="0"/>
    <x v="0"/>
    <n v="20"/>
    <n v="15"/>
    <n v="50"/>
  </r>
  <r>
    <n v="3271"/>
    <x v="40"/>
    <x v="2"/>
    <d v="2024-04-06T00:00:00"/>
    <x v="1"/>
    <x v="2"/>
    <x v="0"/>
    <s v="No"/>
    <x v="1"/>
    <x v="0"/>
    <n v="20"/>
    <n v="5"/>
    <n v="25"/>
  </r>
  <r>
    <n v="3272"/>
    <x v="41"/>
    <x v="1"/>
    <d v="2024-04-07T00:00:00"/>
    <x v="0"/>
    <x v="1"/>
    <x v="1"/>
    <s v="No"/>
    <x v="1"/>
    <x v="1"/>
    <n v="0"/>
    <n v="0"/>
    <n v="5"/>
  </r>
  <r>
    <n v="3273"/>
    <x v="42"/>
    <x v="0"/>
    <d v="2024-04-08T00:00:00"/>
    <x v="1"/>
    <x v="0"/>
    <x v="2"/>
    <s v="Yes"/>
    <x v="0"/>
    <x v="0"/>
    <n v="20"/>
    <n v="20"/>
    <n v="45"/>
  </r>
  <r>
    <n v="3274"/>
    <x v="43"/>
    <x v="2"/>
    <d v="2024-04-09T00:00:00"/>
    <x v="0"/>
    <x v="2"/>
    <x v="2"/>
    <s v="No"/>
    <x v="1"/>
    <x v="0"/>
    <n v="20"/>
    <n v="12"/>
    <n v="18"/>
  </r>
  <r>
    <n v="3275"/>
    <x v="44"/>
    <x v="1"/>
    <d v="2024-04-10T00:00:00"/>
    <x v="1"/>
    <x v="1"/>
    <x v="0"/>
    <s v="No"/>
    <x v="1"/>
    <x v="1"/>
    <n v="0"/>
    <n v="2"/>
    <n v="3"/>
  </r>
  <r>
    <n v="3276"/>
    <x v="45"/>
    <x v="0"/>
    <d v="2024-04-11T00:00:00"/>
    <x v="0"/>
    <x v="0"/>
    <x v="1"/>
    <s v="Yes"/>
    <x v="0"/>
    <x v="0"/>
    <n v="20"/>
    <n v="5"/>
    <n v="60"/>
  </r>
  <r>
    <n v="3277"/>
    <x v="46"/>
    <x v="2"/>
    <d v="2024-04-12T00:00:00"/>
    <x v="1"/>
    <x v="2"/>
    <x v="0"/>
    <s v="No"/>
    <x v="1"/>
    <x v="0"/>
    <n v="20"/>
    <n v="10"/>
    <n v="20"/>
  </r>
  <r>
    <n v="3278"/>
    <x v="47"/>
    <x v="1"/>
    <d v="2024-04-13T00:00:00"/>
    <x v="0"/>
    <x v="1"/>
    <x v="2"/>
    <s v="No"/>
    <x v="1"/>
    <x v="1"/>
    <n v="0"/>
    <n v="0"/>
    <n v="5"/>
  </r>
  <r>
    <n v="3279"/>
    <x v="48"/>
    <x v="0"/>
    <d v="2024-04-14T00:00:00"/>
    <x v="1"/>
    <x v="0"/>
    <x v="0"/>
    <s v="Yes"/>
    <x v="0"/>
    <x v="0"/>
    <n v="20"/>
    <n v="3"/>
    <n v="62"/>
  </r>
  <r>
    <n v="3280"/>
    <x v="49"/>
    <x v="2"/>
    <d v="2024-04-15T00:00:00"/>
    <x v="0"/>
    <x v="2"/>
    <x v="1"/>
    <s v="No"/>
    <x v="1"/>
    <x v="0"/>
    <n v="20"/>
    <n v="15"/>
    <n v="15"/>
  </r>
  <r>
    <n v="3281"/>
    <x v="50"/>
    <x v="1"/>
    <d v="2024-04-16T00:00:00"/>
    <x v="1"/>
    <x v="1"/>
    <x v="0"/>
    <s v="No"/>
    <x v="1"/>
    <x v="1"/>
    <n v="0"/>
    <n v="1"/>
    <n v="4"/>
  </r>
  <r>
    <n v="3282"/>
    <x v="51"/>
    <x v="0"/>
    <d v="2024-04-17T00:00:00"/>
    <x v="0"/>
    <x v="0"/>
    <x v="2"/>
    <s v="Yes"/>
    <x v="0"/>
    <x v="0"/>
    <n v="20"/>
    <n v="7"/>
    <n v="58"/>
  </r>
  <r>
    <n v="3283"/>
    <x v="52"/>
    <x v="2"/>
    <d v="2024-04-18T00:00:00"/>
    <x v="1"/>
    <x v="2"/>
    <x v="0"/>
    <s v="No"/>
    <x v="1"/>
    <x v="0"/>
    <n v="20"/>
    <n v="10"/>
    <n v="20"/>
  </r>
  <r>
    <n v="3284"/>
    <x v="53"/>
    <x v="1"/>
    <d v="2024-04-19T00:00:00"/>
    <x v="0"/>
    <x v="1"/>
    <x v="1"/>
    <s v="No"/>
    <x v="1"/>
    <x v="1"/>
    <n v="0"/>
    <n v="0"/>
    <n v="5"/>
  </r>
  <r>
    <n v="3285"/>
    <x v="54"/>
    <x v="0"/>
    <d v="2024-04-20T00:00:00"/>
    <x v="1"/>
    <x v="0"/>
    <x v="0"/>
    <s v="Yes"/>
    <x v="0"/>
    <x v="0"/>
    <n v="20"/>
    <n v="20"/>
    <n v="45"/>
  </r>
  <r>
    <n v="3286"/>
    <x v="55"/>
    <x v="2"/>
    <d v="2024-04-21T00:00:00"/>
    <x v="0"/>
    <x v="2"/>
    <x v="2"/>
    <s v="No"/>
    <x v="1"/>
    <x v="0"/>
    <n v="20"/>
    <n v="15"/>
    <n v="15"/>
  </r>
  <r>
    <n v="3287"/>
    <x v="56"/>
    <x v="1"/>
    <d v="2024-04-22T00:00:00"/>
    <x v="1"/>
    <x v="1"/>
    <x v="0"/>
    <s v="No"/>
    <x v="1"/>
    <x v="1"/>
    <n v="0"/>
    <n v="1"/>
    <n v="4"/>
  </r>
  <r>
    <n v="3288"/>
    <x v="57"/>
    <x v="0"/>
    <d v="2024-04-23T00:00:00"/>
    <x v="0"/>
    <x v="0"/>
    <x v="1"/>
    <s v="Yes"/>
    <x v="0"/>
    <x v="0"/>
    <n v="20"/>
    <n v="3"/>
    <n v="62"/>
  </r>
  <r>
    <n v="3289"/>
    <x v="58"/>
    <x v="2"/>
    <d v="2024-04-24T00:00:00"/>
    <x v="1"/>
    <x v="2"/>
    <x v="0"/>
    <s v="No"/>
    <x v="1"/>
    <x v="0"/>
    <n v="20"/>
    <n v="10"/>
    <n v="20"/>
  </r>
  <r>
    <n v="3290"/>
    <x v="59"/>
    <x v="1"/>
    <d v="2024-04-25T00:00:00"/>
    <x v="0"/>
    <x v="1"/>
    <x v="2"/>
    <s v="No"/>
    <x v="1"/>
    <x v="1"/>
    <n v="0"/>
    <n v="0"/>
    <n v="5"/>
  </r>
  <r>
    <n v="3291"/>
    <x v="60"/>
    <x v="0"/>
    <d v="2024-04-26T00:00:00"/>
    <x v="1"/>
    <x v="0"/>
    <x v="0"/>
    <s v="Yes"/>
    <x v="0"/>
    <x v="0"/>
    <n v="20"/>
    <n v="5"/>
    <n v="60"/>
  </r>
  <r>
    <n v="3292"/>
    <x v="61"/>
    <x v="2"/>
    <d v="2024-04-27T00:00:00"/>
    <x v="0"/>
    <x v="2"/>
    <x v="1"/>
    <s v="No"/>
    <x v="1"/>
    <x v="0"/>
    <n v="20"/>
    <n v="15"/>
    <n v="15"/>
  </r>
  <r>
    <n v="3293"/>
    <x v="62"/>
    <x v="1"/>
    <d v="2024-04-28T00:00:00"/>
    <x v="1"/>
    <x v="1"/>
    <x v="0"/>
    <s v="No"/>
    <x v="1"/>
    <x v="1"/>
    <n v="0"/>
    <n v="1"/>
    <n v="4"/>
  </r>
  <r>
    <n v="3294"/>
    <x v="63"/>
    <x v="0"/>
    <d v="2024-04-29T00:00:00"/>
    <x v="0"/>
    <x v="0"/>
    <x v="2"/>
    <s v="Yes"/>
    <x v="0"/>
    <x v="0"/>
    <n v="20"/>
    <n v="20"/>
    <n v="45"/>
  </r>
  <r>
    <n v="3295"/>
    <x v="64"/>
    <x v="2"/>
    <d v="2024-04-30T00:00:00"/>
    <x v="1"/>
    <x v="2"/>
    <x v="0"/>
    <s v="No"/>
    <x v="1"/>
    <x v="0"/>
    <n v="20"/>
    <n v="5"/>
    <n v="25"/>
  </r>
  <r>
    <n v="3296"/>
    <x v="65"/>
    <x v="1"/>
    <d v="2024-05-01T00:00:00"/>
    <x v="1"/>
    <x v="1"/>
    <x v="0"/>
    <s v="No"/>
    <x v="1"/>
    <x v="1"/>
    <n v="0"/>
    <n v="0"/>
    <n v="5"/>
  </r>
  <r>
    <n v="3297"/>
    <x v="66"/>
    <x v="0"/>
    <d v="2024-05-02T00:00:00"/>
    <x v="0"/>
    <x v="0"/>
    <x v="2"/>
    <s v="Yes"/>
    <x v="0"/>
    <x v="0"/>
    <n v="20"/>
    <n v="7"/>
    <n v="58"/>
  </r>
  <r>
    <n v="3298"/>
    <x v="67"/>
    <x v="2"/>
    <d v="2024-05-03T00:00:00"/>
    <x v="1"/>
    <x v="2"/>
    <x v="1"/>
    <s v="No"/>
    <x v="1"/>
    <x v="0"/>
    <n v="20"/>
    <n v="10"/>
    <n v="20"/>
  </r>
  <r>
    <n v="3299"/>
    <x v="68"/>
    <x v="1"/>
    <d v="2024-05-04T00:00:00"/>
    <x v="0"/>
    <x v="1"/>
    <x v="2"/>
    <s v="No"/>
    <x v="1"/>
    <x v="1"/>
    <n v="0"/>
    <n v="1"/>
    <n v="4"/>
  </r>
  <r>
    <n v="3300"/>
    <x v="69"/>
    <x v="0"/>
    <d v="2024-05-05T00:00:00"/>
    <x v="1"/>
    <x v="0"/>
    <x v="0"/>
    <s v="Yes"/>
    <x v="0"/>
    <x v="0"/>
    <n v="20"/>
    <n v="15"/>
    <n v="50"/>
  </r>
  <r>
    <n v="3301"/>
    <x v="70"/>
    <x v="2"/>
    <d v="2024-05-06T00:00:00"/>
    <x v="0"/>
    <x v="2"/>
    <x v="0"/>
    <s v="No"/>
    <x v="1"/>
    <x v="0"/>
    <n v="20"/>
    <n v="5"/>
    <n v="25"/>
  </r>
  <r>
    <n v="3302"/>
    <x v="71"/>
    <x v="1"/>
    <d v="2024-05-07T00:00:00"/>
    <x v="1"/>
    <x v="1"/>
    <x v="1"/>
    <s v="No"/>
    <x v="1"/>
    <x v="1"/>
    <n v="0"/>
    <n v="0"/>
    <n v="5"/>
  </r>
  <r>
    <n v="3303"/>
    <x v="72"/>
    <x v="0"/>
    <d v="2024-05-08T00:00:00"/>
    <x v="0"/>
    <x v="0"/>
    <x v="2"/>
    <s v="Yes"/>
    <x v="0"/>
    <x v="0"/>
    <n v="20"/>
    <n v="20"/>
    <n v="45"/>
  </r>
  <r>
    <n v="3304"/>
    <x v="73"/>
    <x v="2"/>
    <d v="2024-05-09T00:00:00"/>
    <x v="1"/>
    <x v="2"/>
    <x v="2"/>
    <s v="No"/>
    <x v="1"/>
    <x v="0"/>
    <n v="20"/>
    <n v="12"/>
    <n v="18"/>
  </r>
  <r>
    <n v="3305"/>
    <x v="74"/>
    <x v="1"/>
    <d v="2024-05-10T00:00:00"/>
    <x v="0"/>
    <x v="1"/>
    <x v="0"/>
    <s v="No"/>
    <x v="1"/>
    <x v="1"/>
    <n v="0"/>
    <n v="2"/>
    <n v="3"/>
  </r>
  <r>
    <n v="3306"/>
    <x v="75"/>
    <x v="0"/>
    <d v="2024-05-11T00:00:00"/>
    <x v="1"/>
    <x v="0"/>
    <x v="1"/>
    <s v="Yes"/>
    <x v="0"/>
    <x v="0"/>
    <n v="20"/>
    <n v="5"/>
    <n v="60"/>
  </r>
  <r>
    <n v="3307"/>
    <x v="76"/>
    <x v="2"/>
    <d v="2024-05-12T00:00:00"/>
    <x v="0"/>
    <x v="2"/>
    <x v="0"/>
    <s v="No"/>
    <x v="1"/>
    <x v="0"/>
    <n v="20"/>
    <n v="10"/>
    <n v="20"/>
  </r>
  <r>
    <n v="3308"/>
    <x v="77"/>
    <x v="1"/>
    <d v="2024-05-13T00:00:00"/>
    <x v="1"/>
    <x v="1"/>
    <x v="2"/>
    <s v="No"/>
    <x v="1"/>
    <x v="1"/>
    <n v="0"/>
    <n v="0"/>
    <n v="5"/>
  </r>
  <r>
    <n v="3309"/>
    <x v="78"/>
    <x v="0"/>
    <d v="2024-05-14T00:00:00"/>
    <x v="0"/>
    <x v="0"/>
    <x v="0"/>
    <s v="Yes"/>
    <x v="0"/>
    <x v="0"/>
    <n v="20"/>
    <n v="3"/>
    <n v="62"/>
  </r>
  <r>
    <n v="3310"/>
    <x v="79"/>
    <x v="2"/>
    <d v="2024-05-15T00:00:00"/>
    <x v="1"/>
    <x v="2"/>
    <x v="1"/>
    <s v="No"/>
    <x v="1"/>
    <x v="0"/>
    <n v="20"/>
    <n v="15"/>
    <n v="15"/>
  </r>
  <r>
    <n v="3311"/>
    <x v="80"/>
    <x v="1"/>
    <d v="2024-05-16T00:00:00"/>
    <x v="0"/>
    <x v="1"/>
    <x v="0"/>
    <s v="No"/>
    <x v="1"/>
    <x v="1"/>
    <n v="0"/>
    <n v="1"/>
    <n v="4"/>
  </r>
  <r>
    <n v="3312"/>
    <x v="81"/>
    <x v="0"/>
    <d v="2024-05-17T00:00:00"/>
    <x v="1"/>
    <x v="0"/>
    <x v="2"/>
    <s v="Yes"/>
    <x v="0"/>
    <x v="0"/>
    <n v="20"/>
    <n v="7"/>
    <n v="58"/>
  </r>
  <r>
    <n v="3313"/>
    <x v="82"/>
    <x v="2"/>
    <d v="2024-05-18T00:00:00"/>
    <x v="0"/>
    <x v="2"/>
    <x v="0"/>
    <s v="No"/>
    <x v="1"/>
    <x v="0"/>
    <n v="20"/>
    <n v="10"/>
    <n v="20"/>
  </r>
  <r>
    <n v="3314"/>
    <x v="83"/>
    <x v="1"/>
    <d v="2024-05-19T00:00:00"/>
    <x v="1"/>
    <x v="1"/>
    <x v="1"/>
    <s v="No"/>
    <x v="1"/>
    <x v="1"/>
    <n v="0"/>
    <n v="0"/>
    <n v="5"/>
  </r>
  <r>
    <n v="3315"/>
    <x v="84"/>
    <x v="0"/>
    <d v="2024-05-20T00:00:00"/>
    <x v="0"/>
    <x v="0"/>
    <x v="0"/>
    <s v="Yes"/>
    <x v="0"/>
    <x v="0"/>
    <n v="20"/>
    <n v="20"/>
    <n v="45"/>
  </r>
  <r>
    <n v="3316"/>
    <x v="85"/>
    <x v="2"/>
    <d v="2024-05-21T00:00:00"/>
    <x v="1"/>
    <x v="2"/>
    <x v="2"/>
    <s v="No"/>
    <x v="1"/>
    <x v="0"/>
    <n v="20"/>
    <n v="15"/>
    <n v="15"/>
  </r>
  <r>
    <n v="3317"/>
    <x v="86"/>
    <x v="1"/>
    <d v="2024-05-22T00:00:00"/>
    <x v="0"/>
    <x v="1"/>
    <x v="0"/>
    <s v="No"/>
    <x v="1"/>
    <x v="1"/>
    <n v="0"/>
    <n v="1"/>
    <n v="4"/>
  </r>
  <r>
    <n v="3318"/>
    <x v="87"/>
    <x v="0"/>
    <d v="2024-05-23T00:00:00"/>
    <x v="1"/>
    <x v="0"/>
    <x v="1"/>
    <s v="Yes"/>
    <x v="0"/>
    <x v="0"/>
    <n v="20"/>
    <n v="3"/>
    <n v="62"/>
  </r>
  <r>
    <n v="3319"/>
    <x v="88"/>
    <x v="2"/>
    <d v="2024-05-24T00:00:00"/>
    <x v="0"/>
    <x v="2"/>
    <x v="0"/>
    <s v="No"/>
    <x v="1"/>
    <x v="0"/>
    <n v="20"/>
    <n v="10"/>
    <n v="20"/>
  </r>
  <r>
    <n v="3320"/>
    <x v="89"/>
    <x v="1"/>
    <d v="2024-05-25T00:00:00"/>
    <x v="1"/>
    <x v="1"/>
    <x v="2"/>
    <s v="No"/>
    <x v="1"/>
    <x v="1"/>
    <n v="0"/>
    <n v="0"/>
    <n v="5"/>
  </r>
  <r>
    <n v="3321"/>
    <x v="90"/>
    <x v="0"/>
    <d v="2024-05-26T00:00:00"/>
    <x v="0"/>
    <x v="0"/>
    <x v="0"/>
    <s v="Yes"/>
    <x v="0"/>
    <x v="0"/>
    <n v="20"/>
    <n v="5"/>
    <n v="60"/>
  </r>
  <r>
    <n v="3322"/>
    <x v="91"/>
    <x v="2"/>
    <d v="2024-05-27T00:00:00"/>
    <x v="1"/>
    <x v="2"/>
    <x v="1"/>
    <s v="No"/>
    <x v="1"/>
    <x v="0"/>
    <n v="20"/>
    <n v="15"/>
    <n v="15"/>
  </r>
  <r>
    <n v="3323"/>
    <x v="92"/>
    <x v="1"/>
    <d v="2024-05-28T00:00:00"/>
    <x v="0"/>
    <x v="1"/>
    <x v="0"/>
    <s v="No"/>
    <x v="1"/>
    <x v="1"/>
    <n v="0"/>
    <n v="1"/>
    <n v="4"/>
  </r>
  <r>
    <n v="3324"/>
    <x v="93"/>
    <x v="0"/>
    <d v="2024-05-29T00:00:00"/>
    <x v="1"/>
    <x v="0"/>
    <x v="2"/>
    <s v="Yes"/>
    <x v="0"/>
    <x v="0"/>
    <n v="20"/>
    <n v="20"/>
    <n v="45"/>
  </r>
  <r>
    <n v="3325"/>
    <x v="94"/>
    <x v="2"/>
    <d v="2024-05-30T00:00:00"/>
    <x v="0"/>
    <x v="2"/>
    <x v="2"/>
    <s v="No"/>
    <x v="1"/>
    <x v="0"/>
    <n v="20"/>
    <n v="15"/>
    <n v="15"/>
  </r>
  <r>
    <n v="3326"/>
    <x v="95"/>
    <x v="1"/>
    <d v="2024-05-31T00:00:00"/>
    <x v="1"/>
    <x v="1"/>
    <x v="1"/>
    <s v="No"/>
    <x v="1"/>
    <x v="1"/>
    <n v="0"/>
    <n v="0"/>
    <n v="5"/>
  </r>
  <r>
    <n v="3327"/>
    <x v="96"/>
    <x v="0"/>
    <d v="2024-06-01T00:00:00"/>
    <x v="0"/>
    <x v="0"/>
    <x v="0"/>
    <s v="Yes"/>
    <x v="0"/>
    <x v="0"/>
    <n v="20"/>
    <n v="7"/>
    <n v="58"/>
  </r>
  <r>
    <n v="3328"/>
    <x v="97"/>
    <x v="2"/>
    <d v="2024-06-02T00:00:00"/>
    <x v="1"/>
    <x v="2"/>
    <x v="1"/>
    <s v="No"/>
    <x v="1"/>
    <x v="0"/>
    <n v="20"/>
    <n v="10"/>
    <n v="20"/>
  </r>
  <r>
    <n v="3329"/>
    <x v="98"/>
    <x v="1"/>
    <d v="2024-06-03T00:00:00"/>
    <x v="0"/>
    <x v="1"/>
    <x v="2"/>
    <s v="No"/>
    <x v="1"/>
    <x v="1"/>
    <n v="0"/>
    <n v="1"/>
    <n v="4"/>
  </r>
  <r>
    <n v="3330"/>
    <x v="99"/>
    <x v="0"/>
    <d v="2024-06-04T00:00:00"/>
    <x v="1"/>
    <x v="0"/>
    <x v="0"/>
    <s v="Yes"/>
    <x v="0"/>
    <x v="0"/>
    <n v="20"/>
    <n v="15"/>
    <n v="50"/>
  </r>
  <r>
    <n v="3331"/>
    <x v="100"/>
    <x v="2"/>
    <d v="2024-06-05T00:00:00"/>
    <x v="0"/>
    <x v="2"/>
    <x v="0"/>
    <s v="No"/>
    <x v="1"/>
    <x v="0"/>
    <n v="20"/>
    <n v="5"/>
    <n v="25"/>
  </r>
  <r>
    <n v="3332"/>
    <x v="101"/>
    <x v="1"/>
    <d v="2024-06-06T00:00:00"/>
    <x v="1"/>
    <x v="1"/>
    <x v="1"/>
    <s v="No"/>
    <x v="1"/>
    <x v="1"/>
    <n v="0"/>
    <n v="0"/>
    <n v="5"/>
  </r>
  <r>
    <n v="3333"/>
    <x v="102"/>
    <x v="0"/>
    <d v="2024-06-07T00:00:00"/>
    <x v="0"/>
    <x v="0"/>
    <x v="2"/>
    <s v="Yes"/>
    <x v="0"/>
    <x v="0"/>
    <n v="20"/>
    <n v="20"/>
    <n v="45"/>
  </r>
  <r>
    <n v="3334"/>
    <x v="103"/>
    <x v="2"/>
    <d v="2024-06-08T00:00:00"/>
    <x v="1"/>
    <x v="2"/>
    <x v="2"/>
    <s v="No"/>
    <x v="1"/>
    <x v="0"/>
    <n v="20"/>
    <n v="12"/>
    <n v="18"/>
  </r>
  <r>
    <n v="3335"/>
    <x v="104"/>
    <x v="1"/>
    <d v="2024-06-09T00:00:00"/>
    <x v="0"/>
    <x v="1"/>
    <x v="0"/>
    <s v="No"/>
    <x v="1"/>
    <x v="1"/>
    <n v="0"/>
    <n v="2"/>
    <n v="3"/>
  </r>
  <r>
    <n v="3336"/>
    <x v="105"/>
    <x v="1"/>
    <d v="2024-06-10T00:00:00"/>
    <x v="0"/>
    <x v="1"/>
    <x v="0"/>
    <s v="No"/>
    <x v="1"/>
    <x v="1"/>
    <n v="0"/>
    <n v="0"/>
    <n v="5"/>
  </r>
  <r>
    <n v="3337"/>
    <x v="106"/>
    <x v="0"/>
    <d v="2024-06-11T00:00:00"/>
    <x v="1"/>
    <x v="0"/>
    <x v="2"/>
    <s v="Yes"/>
    <x v="0"/>
    <x v="0"/>
    <n v="20"/>
    <n v="7"/>
    <n v="58"/>
  </r>
  <r>
    <n v="3338"/>
    <x v="107"/>
    <x v="2"/>
    <d v="2024-06-12T00:00:00"/>
    <x v="0"/>
    <x v="2"/>
    <x v="1"/>
    <s v="No"/>
    <x v="1"/>
    <x v="0"/>
    <n v="20"/>
    <n v="10"/>
    <n v="20"/>
  </r>
  <r>
    <n v="3339"/>
    <x v="108"/>
    <x v="1"/>
    <d v="2024-06-13T00:00:00"/>
    <x v="1"/>
    <x v="1"/>
    <x v="2"/>
    <s v="No"/>
    <x v="1"/>
    <x v="1"/>
    <n v="0"/>
    <n v="1"/>
    <n v="4"/>
  </r>
  <r>
    <n v="3340"/>
    <x v="109"/>
    <x v="0"/>
    <d v="2024-06-14T00:00:00"/>
    <x v="0"/>
    <x v="0"/>
    <x v="0"/>
    <s v="Yes"/>
    <x v="0"/>
    <x v="0"/>
    <n v="20"/>
    <n v="15"/>
    <n v="50"/>
  </r>
  <r>
    <n v="3341"/>
    <x v="110"/>
    <x v="2"/>
    <d v="2024-06-15T00:00:00"/>
    <x v="1"/>
    <x v="2"/>
    <x v="0"/>
    <s v="No"/>
    <x v="1"/>
    <x v="0"/>
    <n v="20"/>
    <n v="5"/>
    <n v="25"/>
  </r>
  <r>
    <n v="3342"/>
    <x v="111"/>
    <x v="1"/>
    <d v="2024-06-16T00:00:00"/>
    <x v="0"/>
    <x v="1"/>
    <x v="1"/>
    <s v="No"/>
    <x v="1"/>
    <x v="1"/>
    <n v="0"/>
    <n v="0"/>
    <n v="5"/>
  </r>
  <r>
    <n v="3343"/>
    <x v="112"/>
    <x v="0"/>
    <d v="2024-06-17T00:00:00"/>
    <x v="1"/>
    <x v="0"/>
    <x v="2"/>
    <s v="Yes"/>
    <x v="0"/>
    <x v="0"/>
    <n v="20"/>
    <n v="20"/>
    <n v="45"/>
  </r>
  <r>
    <n v="3344"/>
    <x v="113"/>
    <x v="2"/>
    <d v="2024-06-18T00:00:00"/>
    <x v="0"/>
    <x v="2"/>
    <x v="2"/>
    <s v="No"/>
    <x v="1"/>
    <x v="0"/>
    <n v="20"/>
    <n v="12"/>
    <n v="18"/>
  </r>
  <r>
    <n v="3345"/>
    <x v="114"/>
    <x v="1"/>
    <d v="2024-06-19T00:00:00"/>
    <x v="1"/>
    <x v="1"/>
    <x v="0"/>
    <s v="No"/>
    <x v="1"/>
    <x v="1"/>
    <n v="0"/>
    <n v="2"/>
    <n v="3"/>
  </r>
  <r>
    <n v="3346"/>
    <x v="115"/>
    <x v="0"/>
    <d v="2024-06-20T00:00:00"/>
    <x v="0"/>
    <x v="0"/>
    <x v="1"/>
    <s v="Yes"/>
    <x v="0"/>
    <x v="0"/>
    <n v="20"/>
    <n v="5"/>
    <n v="60"/>
  </r>
  <r>
    <n v="3347"/>
    <x v="116"/>
    <x v="2"/>
    <d v="2024-06-21T00:00:00"/>
    <x v="1"/>
    <x v="2"/>
    <x v="0"/>
    <s v="No"/>
    <x v="1"/>
    <x v="0"/>
    <n v="20"/>
    <n v="10"/>
    <n v="20"/>
  </r>
  <r>
    <n v="3348"/>
    <x v="117"/>
    <x v="1"/>
    <d v="2024-06-22T00:00:00"/>
    <x v="0"/>
    <x v="1"/>
    <x v="2"/>
    <s v="No"/>
    <x v="1"/>
    <x v="1"/>
    <n v="0"/>
    <n v="0"/>
    <n v="5"/>
  </r>
  <r>
    <n v="3349"/>
    <x v="93"/>
    <x v="0"/>
    <d v="2024-06-23T00:00:00"/>
    <x v="1"/>
    <x v="0"/>
    <x v="0"/>
    <s v="Yes"/>
    <x v="0"/>
    <x v="0"/>
    <n v="20"/>
    <n v="3"/>
    <n v="62"/>
  </r>
  <r>
    <n v="3350"/>
    <x v="118"/>
    <x v="2"/>
    <d v="2024-06-24T00:00:00"/>
    <x v="0"/>
    <x v="2"/>
    <x v="1"/>
    <s v="No"/>
    <x v="1"/>
    <x v="0"/>
    <n v="20"/>
    <n v="15"/>
    <n v="15"/>
  </r>
  <r>
    <n v="3351"/>
    <x v="119"/>
    <x v="1"/>
    <d v="2024-06-25T00:00:00"/>
    <x v="1"/>
    <x v="1"/>
    <x v="0"/>
    <s v="No"/>
    <x v="1"/>
    <x v="1"/>
    <n v="0"/>
    <n v="1"/>
    <n v="4"/>
  </r>
  <r>
    <n v="3352"/>
    <x v="120"/>
    <x v="0"/>
    <d v="2024-06-26T00:00:00"/>
    <x v="0"/>
    <x v="0"/>
    <x v="2"/>
    <s v="Yes"/>
    <x v="0"/>
    <x v="0"/>
    <n v="20"/>
    <n v="7"/>
    <n v="58"/>
  </r>
  <r>
    <n v="3353"/>
    <x v="121"/>
    <x v="2"/>
    <d v="2024-06-27T00:00:00"/>
    <x v="1"/>
    <x v="2"/>
    <x v="0"/>
    <s v="No"/>
    <x v="1"/>
    <x v="0"/>
    <n v="20"/>
    <n v="10"/>
    <n v="20"/>
  </r>
  <r>
    <n v="3354"/>
    <x v="122"/>
    <x v="1"/>
    <d v="2024-06-28T00:00:00"/>
    <x v="0"/>
    <x v="1"/>
    <x v="1"/>
    <s v="No"/>
    <x v="1"/>
    <x v="1"/>
    <n v="0"/>
    <n v="0"/>
    <n v="5"/>
  </r>
  <r>
    <n v="3355"/>
    <x v="123"/>
    <x v="0"/>
    <d v="2024-06-29T00:00:00"/>
    <x v="1"/>
    <x v="0"/>
    <x v="0"/>
    <s v="Yes"/>
    <x v="0"/>
    <x v="0"/>
    <n v="20"/>
    <n v="20"/>
    <n v="45"/>
  </r>
  <r>
    <n v="3356"/>
    <x v="124"/>
    <x v="2"/>
    <d v="2024-06-30T00:00:00"/>
    <x v="0"/>
    <x v="2"/>
    <x v="2"/>
    <s v="No"/>
    <x v="1"/>
    <x v="0"/>
    <n v="20"/>
    <n v="15"/>
    <n v="15"/>
  </r>
  <r>
    <n v="3357"/>
    <x v="125"/>
    <x v="1"/>
    <d v="2024-07-01T00:00:00"/>
    <x v="1"/>
    <x v="1"/>
    <x v="0"/>
    <s v="No"/>
    <x v="1"/>
    <x v="1"/>
    <n v="0"/>
    <n v="1"/>
    <n v="4"/>
  </r>
  <r>
    <n v="3358"/>
    <x v="126"/>
    <x v="0"/>
    <d v="2024-07-02T00:00:00"/>
    <x v="0"/>
    <x v="0"/>
    <x v="1"/>
    <s v="Yes"/>
    <x v="0"/>
    <x v="0"/>
    <n v="20"/>
    <n v="3"/>
    <n v="62"/>
  </r>
  <r>
    <n v="3359"/>
    <x v="127"/>
    <x v="2"/>
    <d v="2024-07-03T00:00:00"/>
    <x v="1"/>
    <x v="2"/>
    <x v="0"/>
    <s v="No"/>
    <x v="1"/>
    <x v="0"/>
    <n v="20"/>
    <n v="10"/>
    <n v="20"/>
  </r>
  <r>
    <n v="3360"/>
    <x v="128"/>
    <x v="1"/>
    <d v="2024-07-04T00:00:00"/>
    <x v="0"/>
    <x v="1"/>
    <x v="2"/>
    <s v="No"/>
    <x v="1"/>
    <x v="1"/>
    <n v="0"/>
    <n v="0"/>
    <n v="5"/>
  </r>
  <r>
    <n v="3361"/>
    <x v="129"/>
    <x v="0"/>
    <d v="2024-07-05T00:00:00"/>
    <x v="1"/>
    <x v="0"/>
    <x v="0"/>
    <s v="Yes"/>
    <x v="0"/>
    <x v="0"/>
    <n v="20"/>
    <n v="15"/>
    <n v="50"/>
  </r>
  <r>
    <n v="3362"/>
    <x v="130"/>
    <x v="2"/>
    <d v="2024-07-06T00:00:00"/>
    <x v="0"/>
    <x v="2"/>
    <x v="1"/>
    <s v="No"/>
    <x v="1"/>
    <x v="0"/>
    <n v="20"/>
    <n v="15"/>
    <n v="15"/>
  </r>
  <r>
    <n v="3363"/>
    <x v="131"/>
    <x v="1"/>
    <d v="2024-07-07T00:00:00"/>
    <x v="1"/>
    <x v="1"/>
    <x v="0"/>
    <s v="No"/>
    <x v="1"/>
    <x v="1"/>
    <n v="0"/>
    <n v="1"/>
    <n v="4"/>
  </r>
  <r>
    <n v="3364"/>
    <x v="132"/>
    <x v="0"/>
    <d v="2024-07-08T00:00:00"/>
    <x v="0"/>
    <x v="0"/>
    <x v="2"/>
    <s v="Yes"/>
    <x v="0"/>
    <x v="0"/>
    <n v="20"/>
    <n v="7"/>
    <n v="58"/>
  </r>
  <r>
    <n v="3365"/>
    <x v="133"/>
    <x v="2"/>
    <d v="2024-07-09T00:00:00"/>
    <x v="1"/>
    <x v="2"/>
    <x v="0"/>
    <s v="No"/>
    <x v="1"/>
    <x v="0"/>
    <n v="20"/>
    <n v="10"/>
    <n v="20"/>
  </r>
  <r>
    <n v="3366"/>
    <x v="134"/>
    <x v="1"/>
    <d v="2024-07-10T00:00:00"/>
    <x v="0"/>
    <x v="1"/>
    <x v="0"/>
    <s v="No"/>
    <x v="1"/>
    <x v="1"/>
    <n v="0"/>
    <n v="0"/>
    <n v="5"/>
  </r>
  <r>
    <n v="3367"/>
    <x v="135"/>
    <x v="0"/>
    <d v="2024-07-11T00:00:00"/>
    <x v="1"/>
    <x v="0"/>
    <x v="2"/>
    <s v="Yes"/>
    <x v="0"/>
    <x v="0"/>
    <n v="20"/>
    <n v="7"/>
    <n v="58"/>
  </r>
  <r>
    <n v="3368"/>
    <x v="136"/>
    <x v="2"/>
    <d v="2024-07-12T00:00:00"/>
    <x v="0"/>
    <x v="2"/>
    <x v="1"/>
    <s v="No"/>
    <x v="1"/>
    <x v="0"/>
    <n v="20"/>
    <n v="10"/>
    <n v="20"/>
  </r>
  <r>
    <n v="3369"/>
    <x v="137"/>
    <x v="1"/>
    <d v="2024-07-13T00:00:00"/>
    <x v="1"/>
    <x v="1"/>
    <x v="2"/>
    <s v="No"/>
    <x v="1"/>
    <x v="1"/>
    <n v="0"/>
    <n v="1"/>
    <n v="4"/>
  </r>
  <r>
    <n v="3370"/>
    <x v="138"/>
    <x v="0"/>
    <d v="2024-07-14T00:00:00"/>
    <x v="0"/>
    <x v="0"/>
    <x v="0"/>
    <s v="Yes"/>
    <x v="0"/>
    <x v="0"/>
    <n v="20"/>
    <n v="15"/>
    <n v="50"/>
  </r>
  <r>
    <n v="3371"/>
    <x v="139"/>
    <x v="2"/>
    <d v="2024-07-15T00:00:00"/>
    <x v="1"/>
    <x v="2"/>
    <x v="0"/>
    <s v="No"/>
    <x v="1"/>
    <x v="0"/>
    <n v="20"/>
    <n v="5"/>
    <n v="25"/>
  </r>
  <r>
    <n v="3372"/>
    <x v="140"/>
    <x v="1"/>
    <d v="2024-07-16T00:00:00"/>
    <x v="0"/>
    <x v="1"/>
    <x v="1"/>
    <s v="No"/>
    <x v="1"/>
    <x v="1"/>
    <n v="0"/>
    <n v="0"/>
    <n v="5"/>
  </r>
  <r>
    <n v="3373"/>
    <x v="141"/>
    <x v="0"/>
    <d v="2024-07-17T00:00:00"/>
    <x v="1"/>
    <x v="0"/>
    <x v="2"/>
    <s v="Yes"/>
    <x v="0"/>
    <x v="0"/>
    <n v="20"/>
    <n v="20"/>
    <n v="45"/>
  </r>
  <r>
    <n v="3374"/>
    <x v="142"/>
    <x v="2"/>
    <d v="2024-07-18T00:00:00"/>
    <x v="0"/>
    <x v="2"/>
    <x v="2"/>
    <s v="No"/>
    <x v="1"/>
    <x v="0"/>
    <n v="20"/>
    <n v="12"/>
    <n v="18"/>
  </r>
  <r>
    <n v="3375"/>
    <x v="143"/>
    <x v="1"/>
    <d v="2024-07-19T00:00:00"/>
    <x v="1"/>
    <x v="1"/>
    <x v="0"/>
    <s v="No"/>
    <x v="1"/>
    <x v="1"/>
    <n v="0"/>
    <n v="2"/>
    <n v="3"/>
  </r>
  <r>
    <n v="3376"/>
    <x v="144"/>
    <x v="0"/>
    <d v="2024-07-20T00:00:00"/>
    <x v="0"/>
    <x v="0"/>
    <x v="1"/>
    <s v="Yes"/>
    <x v="0"/>
    <x v="0"/>
    <n v="20"/>
    <n v="5"/>
    <n v="60"/>
  </r>
  <r>
    <n v="3377"/>
    <x v="145"/>
    <x v="2"/>
    <d v="2024-07-21T00:00:00"/>
    <x v="1"/>
    <x v="2"/>
    <x v="0"/>
    <s v="No"/>
    <x v="1"/>
    <x v="0"/>
    <n v="20"/>
    <n v="10"/>
    <n v="20"/>
  </r>
  <r>
    <n v="3378"/>
    <x v="146"/>
    <x v="1"/>
    <d v="2024-07-22T00:00:00"/>
    <x v="0"/>
    <x v="1"/>
    <x v="2"/>
    <s v="No"/>
    <x v="1"/>
    <x v="1"/>
    <n v="0"/>
    <n v="0"/>
    <n v="5"/>
  </r>
  <r>
    <n v="3379"/>
    <x v="147"/>
    <x v="0"/>
    <d v="2024-07-23T00:00:00"/>
    <x v="1"/>
    <x v="0"/>
    <x v="0"/>
    <s v="Yes"/>
    <x v="0"/>
    <x v="0"/>
    <n v="20"/>
    <n v="3"/>
    <n v="62"/>
  </r>
  <r>
    <n v="3380"/>
    <x v="148"/>
    <x v="2"/>
    <d v="2024-07-24T00:00:00"/>
    <x v="0"/>
    <x v="2"/>
    <x v="1"/>
    <s v="No"/>
    <x v="1"/>
    <x v="0"/>
    <n v="20"/>
    <n v="15"/>
    <n v="15"/>
  </r>
  <r>
    <n v="3381"/>
    <x v="149"/>
    <x v="1"/>
    <d v="2024-07-25T00:00:00"/>
    <x v="1"/>
    <x v="1"/>
    <x v="0"/>
    <s v="No"/>
    <x v="1"/>
    <x v="1"/>
    <n v="0"/>
    <n v="1"/>
    <n v="4"/>
  </r>
  <r>
    <n v="3382"/>
    <x v="150"/>
    <x v="0"/>
    <d v="2024-07-26T00:00:00"/>
    <x v="0"/>
    <x v="0"/>
    <x v="2"/>
    <s v="Yes"/>
    <x v="0"/>
    <x v="0"/>
    <n v="20"/>
    <n v="7"/>
    <n v="58"/>
  </r>
  <r>
    <n v="3383"/>
    <x v="151"/>
    <x v="2"/>
    <d v="2024-07-27T00:00:00"/>
    <x v="1"/>
    <x v="2"/>
    <x v="0"/>
    <s v="No"/>
    <x v="1"/>
    <x v="0"/>
    <n v="20"/>
    <n v="10"/>
    <n v="20"/>
  </r>
  <r>
    <n v="3384"/>
    <x v="152"/>
    <x v="1"/>
    <d v="2024-07-28T00:00:00"/>
    <x v="0"/>
    <x v="1"/>
    <x v="1"/>
    <s v="No"/>
    <x v="1"/>
    <x v="1"/>
    <n v="0"/>
    <n v="0"/>
    <n v="5"/>
  </r>
  <r>
    <n v="3385"/>
    <x v="153"/>
    <x v="0"/>
    <d v="2024-07-29T00:00:00"/>
    <x v="1"/>
    <x v="0"/>
    <x v="0"/>
    <s v="Yes"/>
    <x v="0"/>
    <x v="0"/>
    <n v="20"/>
    <n v="20"/>
    <n v="45"/>
  </r>
  <r>
    <n v="3386"/>
    <x v="154"/>
    <x v="2"/>
    <d v="2024-07-30T00:00:00"/>
    <x v="0"/>
    <x v="2"/>
    <x v="2"/>
    <s v="No"/>
    <x v="1"/>
    <x v="0"/>
    <n v="20"/>
    <n v="15"/>
    <n v="15"/>
  </r>
  <r>
    <n v="3387"/>
    <x v="155"/>
    <x v="1"/>
    <d v="2024-07-31T00:00:00"/>
    <x v="1"/>
    <x v="1"/>
    <x v="0"/>
    <s v="No"/>
    <x v="1"/>
    <x v="1"/>
    <n v="0"/>
    <n v="1"/>
    <n v="4"/>
  </r>
  <r>
    <n v="3388"/>
    <x v="156"/>
    <x v="0"/>
    <d v="2024-08-01T00:00:00"/>
    <x v="0"/>
    <x v="0"/>
    <x v="1"/>
    <s v="Yes"/>
    <x v="0"/>
    <x v="0"/>
    <n v="20"/>
    <n v="3"/>
    <n v="62"/>
  </r>
  <r>
    <n v="3389"/>
    <x v="157"/>
    <x v="2"/>
    <d v="2024-08-02T00:00:00"/>
    <x v="1"/>
    <x v="2"/>
    <x v="0"/>
    <s v="No"/>
    <x v="1"/>
    <x v="0"/>
    <n v="20"/>
    <n v="10"/>
    <n v="20"/>
  </r>
  <r>
    <n v="3390"/>
    <x v="158"/>
    <x v="1"/>
    <d v="2024-08-03T00:00:00"/>
    <x v="0"/>
    <x v="1"/>
    <x v="2"/>
    <s v="No"/>
    <x v="1"/>
    <x v="1"/>
    <n v="0"/>
    <n v="0"/>
    <n v="5"/>
  </r>
  <r>
    <n v="3391"/>
    <x v="58"/>
    <x v="0"/>
    <d v="2024-08-04T00:00:00"/>
    <x v="1"/>
    <x v="0"/>
    <x v="0"/>
    <s v="Yes"/>
    <x v="0"/>
    <x v="0"/>
    <n v="20"/>
    <n v="15"/>
    <n v="50"/>
  </r>
  <r>
    <n v="3392"/>
    <x v="159"/>
    <x v="2"/>
    <d v="2024-08-05T00:00:00"/>
    <x v="0"/>
    <x v="2"/>
    <x v="1"/>
    <s v="No"/>
    <x v="1"/>
    <x v="0"/>
    <n v="20"/>
    <n v="15"/>
    <n v="15"/>
  </r>
  <r>
    <n v="3393"/>
    <x v="160"/>
    <x v="1"/>
    <d v="2024-08-06T00:00:00"/>
    <x v="1"/>
    <x v="1"/>
    <x v="0"/>
    <s v="No"/>
    <x v="1"/>
    <x v="1"/>
    <n v="0"/>
    <n v="1"/>
    <n v="4"/>
  </r>
  <r>
    <n v="3394"/>
    <x v="161"/>
    <x v="0"/>
    <d v="2024-08-07T00:00:00"/>
    <x v="0"/>
    <x v="0"/>
    <x v="2"/>
    <s v="Yes"/>
    <x v="0"/>
    <x v="0"/>
    <n v="20"/>
    <n v="7"/>
    <n v="58"/>
  </r>
  <r>
    <n v="3395"/>
    <x v="162"/>
    <x v="2"/>
    <d v="2024-08-08T00:00:00"/>
    <x v="1"/>
    <x v="2"/>
    <x v="0"/>
    <s v="No"/>
    <x v="1"/>
    <x v="0"/>
    <n v="20"/>
    <n v="10"/>
    <n v="20"/>
  </r>
  <r>
    <n v="3396"/>
    <x v="163"/>
    <x v="1"/>
    <d v="2024-08-09T00:00:00"/>
    <x v="0"/>
    <x v="1"/>
    <x v="1"/>
    <s v="No"/>
    <x v="1"/>
    <x v="1"/>
    <n v="0"/>
    <n v="0"/>
    <n v="5"/>
  </r>
  <r>
    <n v="3397"/>
    <x v="90"/>
    <x v="0"/>
    <d v="2024-08-10T00:00:00"/>
    <x v="1"/>
    <x v="0"/>
    <x v="0"/>
    <s v="Yes"/>
    <x v="0"/>
    <x v="0"/>
    <n v="20"/>
    <n v="20"/>
    <n v="45"/>
  </r>
  <r>
    <n v="3398"/>
    <x v="164"/>
    <x v="2"/>
    <d v="2024-08-11T00:00:00"/>
    <x v="0"/>
    <x v="2"/>
    <x v="2"/>
    <s v="No"/>
    <x v="1"/>
    <x v="0"/>
    <n v="20"/>
    <n v="15"/>
    <n v="15"/>
  </r>
  <r>
    <n v="3399"/>
    <x v="165"/>
    <x v="1"/>
    <d v="2024-08-12T00:00:00"/>
    <x v="1"/>
    <x v="1"/>
    <x v="0"/>
    <s v="No"/>
    <x v="1"/>
    <x v="1"/>
    <n v="0"/>
    <n v="1"/>
    <n v="4"/>
  </r>
  <r>
    <n v="3400"/>
    <x v="166"/>
    <x v="0"/>
    <d v="2024-08-13T00:00:00"/>
    <x v="0"/>
    <x v="0"/>
    <x v="1"/>
    <s v="Yes"/>
    <x v="0"/>
    <x v="0"/>
    <n v="20"/>
    <n v="5"/>
    <n v="60"/>
  </r>
  <r>
    <n v="3401"/>
    <x v="167"/>
    <x v="2"/>
    <d v="2024-08-14T00:00:00"/>
    <x v="1"/>
    <x v="2"/>
    <x v="0"/>
    <s v="No"/>
    <x v="1"/>
    <x v="0"/>
    <n v="20"/>
    <n v="10"/>
    <n v="20"/>
  </r>
  <r>
    <n v="3402"/>
    <x v="168"/>
    <x v="1"/>
    <d v="2024-08-15T00:00:00"/>
    <x v="0"/>
    <x v="1"/>
    <x v="2"/>
    <s v="No"/>
    <x v="1"/>
    <x v="1"/>
    <n v="0"/>
    <n v="0"/>
    <n v="5"/>
  </r>
  <r>
    <n v="3403"/>
    <x v="169"/>
    <x v="0"/>
    <d v="2024-08-16T00:00:00"/>
    <x v="1"/>
    <x v="0"/>
    <x v="0"/>
    <s v="Yes"/>
    <x v="0"/>
    <x v="0"/>
    <n v="20"/>
    <n v="3"/>
    <n v="62"/>
  </r>
  <r>
    <n v="3404"/>
    <x v="170"/>
    <x v="2"/>
    <d v="2024-08-17T00:00:00"/>
    <x v="0"/>
    <x v="2"/>
    <x v="1"/>
    <s v="No"/>
    <x v="1"/>
    <x v="0"/>
    <n v="20"/>
    <n v="15"/>
    <n v="15"/>
  </r>
  <r>
    <n v="3405"/>
    <x v="171"/>
    <x v="1"/>
    <d v="2024-08-18T00:00:00"/>
    <x v="1"/>
    <x v="1"/>
    <x v="0"/>
    <s v="No"/>
    <x v="1"/>
    <x v="1"/>
    <n v="0"/>
    <n v="1"/>
    <n v="4"/>
  </r>
  <r>
    <n v="3406"/>
    <x v="172"/>
    <x v="1"/>
    <d v="2024-08-19T00:00:00"/>
    <x v="0"/>
    <x v="1"/>
    <x v="0"/>
    <s v="No"/>
    <x v="1"/>
    <x v="1"/>
    <n v="0"/>
    <n v="0"/>
    <n v="5"/>
  </r>
  <r>
    <n v="3407"/>
    <x v="173"/>
    <x v="0"/>
    <d v="2024-08-20T00:00:00"/>
    <x v="1"/>
    <x v="0"/>
    <x v="2"/>
    <s v="Yes"/>
    <x v="0"/>
    <x v="0"/>
    <n v="20"/>
    <n v="7"/>
    <n v="58"/>
  </r>
  <r>
    <n v="3408"/>
    <x v="174"/>
    <x v="2"/>
    <d v="2024-08-21T00:00:00"/>
    <x v="0"/>
    <x v="2"/>
    <x v="1"/>
    <s v="No"/>
    <x v="1"/>
    <x v="0"/>
    <n v="20"/>
    <n v="10"/>
    <n v="20"/>
  </r>
  <r>
    <n v="3409"/>
    <x v="175"/>
    <x v="1"/>
    <d v="2024-08-22T00:00:00"/>
    <x v="1"/>
    <x v="1"/>
    <x v="2"/>
    <s v="No"/>
    <x v="1"/>
    <x v="1"/>
    <n v="0"/>
    <n v="1"/>
    <n v="4"/>
  </r>
  <r>
    <n v="3410"/>
    <x v="176"/>
    <x v="0"/>
    <d v="2024-08-23T00:00:00"/>
    <x v="0"/>
    <x v="0"/>
    <x v="0"/>
    <s v="Yes"/>
    <x v="0"/>
    <x v="0"/>
    <n v="20"/>
    <n v="15"/>
    <n v="50"/>
  </r>
  <r>
    <n v="3411"/>
    <x v="177"/>
    <x v="2"/>
    <d v="2024-08-24T00:00:00"/>
    <x v="1"/>
    <x v="2"/>
    <x v="0"/>
    <s v="No"/>
    <x v="1"/>
    <x v="0"/>
    <n v="20"/>
    <n v="5"/>
    <n v="25"/>
  </r>
  <r>
    <n v="3412"/>
    <x v="178"/>
    <x v="1"/>
    <d v="2024-08-25T00:00:00"/>
    <x v="0"/>
    <x v="1"/>
    <x v="1"/>
    <s v="No"/>
    <x v="1"/>
    <x v="1"/>
    <n v="0"/>
    <n v="0"/>
    <n v="5"/>
  </r>
  <r>
    <n v="3413"/>
    <x v="179"/>
    <x v="0"/>
    <d v="2024-08-26T00:00:00"/>
    <x v="1"/>
    <x v="0"/>
    <x v="2"/>
    <s v="Yes"/>
    <x v="0"/>
    <x v="0"/>
    <n v="20"/>
    <n v="20"/>
    <n v="45"/>
  </r>
  <r>
    <n v="3414"/>
    <x v="180"/>
    <x v="2"/>
    <d v="2024-08-27T00:00:00"/>
    <x v="0"/>
    <x v="2"/>
    <x v="2"/>
    <s v="No"/>
    <x v="1"/>
    <x v="0"/>
    <n v="20"/>
    <n v="12"/>
    <n v="18"/>
  </r>
  <r>
    <n v="3415"/>
    <x v="181"/>
    <x v="1"/>
    <d v="2024-08-28T00:00:00"/>
    <x v="1"/>
    <x v="1"/>
    <x v="0"/>
    <s v="No"/>
    <x v="1"/>
    <x v="1"/>
    <n v="0"/>
    <n v="2"/>
    <n v="3"/>
  </r>
  <r>
    <n v="3416"/>
    <x v="182"/>
    <x v="0"/>
    <d v="2024-08-29T00:00:00"/>
    <x v="0"/>
    <x v="0"/>
    <x v="1"/>
    <s v="Yes"/>
    <x v="0"/>
    <x v="0"/>
    <n v="20"/>
    <n v="5"/>
    <n v="60"/>
  </r>
  <r>
    <n v="3417"/>
    <x v="183"/>
    <x v="2"/>
    <d v="2024-08-30T00:00:00"/>
    <x v="1"/>
    <x v="2"/>
    <x v="0"/>
    <s v="No"/>
    <x v="1"/>
    <x v="0"/>
    <n v="20"/>
    <n v="10"/>
    <n v="20"/>
  </r>
  <r>
    <n v="3418"/>
    <x v="184"/>
    <x v="1"/>
    <d v="2024-08-31T00:00:00"/>
    <x v="0"/>
    <x v="1"/>
    <x v="2"/>
    <s v="No"/>
    <x v="1"/>
    <x v="1"/>
    <n v="0"/>
    <n v="0"/>
    <n v="5"/>
  </r>
  <r>
    <n v="3419"/>
    <x v="185"/>
    <x v="0"/>
    <d v="2024-09-01T00:00:00"/>
    <x v="1"/>
    <x v="0"/>
    <x v="0"/>
    <s v="Yes"/>
    <x v="0"/>
    <x v="0"/>
    <n v="20"/>
    <n v="3"/>
    <n v="62"/>
  </r>
  <r>
    <n v="3420"/>
    <x v="186"/>
    <x v="2"/>
    <d v="2024-09-02T00:00:00"/>
    <x v="0"/>
    <x v="2"/>
    <x v="1"/>
    <s v="No"/>
    <x v="1"/>
    <x v="0"/>
    <n v="20"/>
    <n v="15"/>
    <n v="15"/>
  </r>
  <r>
    <n v="3421"/>
    <x v="15"/>
    <x v="1"/>
    <d v="2024-09-03T00:00:00"/>
    <x v="1"/>
    <x v="1"/>
    <x v="0"/>
    <s v="No"/>
    <x v="1"/>
    <x v="1"/>
    <n v="0"/>
    <n v="1"/>
    <n v="4"/>
  </r>
  <r>
    <n v="3422"/>
    <x v="187"/>
    <x v="0"/>
    <d v="2024-09-04T00:00:00"/>
    <x v="0"/>
    <x v="0"/>
    <x v="2"/>
    <s v="Yes"/>
    <x v="0"/>
    <x v="0"/>
    <n v="20"/>
    <n v="7"/>
    <n v="58"/>
  </r>
  <r>
    <n v="3423"/>
    <x v="188"/>
    <x v="2"/>
    <d v="2024-09-05T00:00:00"/>
    <x v="1"/>
    <x v="2"/>
    <x v="0"/>
    <s v="No"/>
    <x v="1"/>
    <x v="0"/>
    <n v="20"/>
    <n v="10"/>
    <n v="20"/>
  </r>
  <r>
    <n v="3424"/>
    <x v="14"/>
    <x v="1"/>
    <d v="2024-09-06T00:00:00"/>
    <x v="0"/>
    <x v="1"/>
    <x v="1"/>
    <s v="No"/>
    <x v="1"/>
    <x v="1"/>
    <n v="0"/>
    <n v="0"/>
    <n v="5"/>
  </r>
  <r>
    <n v="3425"/>
    <x v="189"/>
    <x v="0"/>
    <d v="2024-09-07T00:00:00"/>
    <x v="1"/>
    <x v="0"/>
    <x v="0"/>
    <s v="Yes"/>
    <x v="0"/>
    <x v="0"/>
    <n v="20"/>
    <n v="20"/>
    <n v="45"/>
  </r>
  <r>
    <n v="3426"/>
    <x v="167"/>
    <x v="2"/>
    <d v="2024-09-08T00:00:00"/>
    <x v="0"/>
    <x v="2"/>
    <x v="2"/>
    <s v="No"/>
    <x v="1"/>
    <x v="0"/>
    <n v="20"/>
    <n v="15"/>
    <n v="15"/>
  </r>
  <r>
    <n v="3427"/>
    <x v="190"/>
    <x v="1"/>
    <d v="2024-09-09T00:00:00"/>
    <x v="1"/>
    <x v="1"/>
    <x v="0"/>
    <s v="No"/>
    <x v="1"/>
    <x v="1"/>
    <n v="0"/>
    <n v="1"/>
    <n v="4"/>
  </r>
  <r>
    <n v="3428"/>
    <x v="191"/>
    <x v="0"/>
    <d v="2024-09-10T00:00:00"/>
    <x v="0"/>
    <x v="0"/>
    <x v="1"/>
    <s v="Yes"/>
    <x v="0"/>
    <x v="0"/>
    <n v="20"/>
    <n v="3"/>
    <n v="62"/>
  </r>
  <r>
    <n v="3429"/>
    <x v="192"/>
    <x v="2"/>
    <d v="2024-09-11T00:00:00"/>
    <x v="1"/>
    <x v="2"/>
    <x v="0"/>
    <s v="No"/>
    <x v="1"/>
    <x v="0"/>
    <n v="20"/>
    <n v="10"/>
    <n v="20"/>
  </r>
  <r>
    <n v="3430"/>
    <x v="193"/>
    <x v="1"/>
    <d v="2024-09-12T00:00:00"/>
    <x v="0"/>
    <x v="1"/>
    <x v="2"/>
    <s v="No"/>
    <x v="1"/>
    <x v="1"/>
    <n v="0"/>
    <n v="0"/>
    <n v="5"/>
  </r>
  <r>
    <n v="3431"/>
    <x v="194"/>
    <x v="0"/>
    <d v="2024-09-13T00:00:00"/>
    <x v="1"/>
    <x v="0"/>
    <x v="0"/>
    <s v="Yes"/>
    <x v="0"/>
    <x v="0"/>
    <n v="20"/>
    <n v="15"/>
    <n v="50"/>
  </r>
  <r>
    <n v="3432"/>
    <x v="195"/>
    <x v="2"/>
    <d v="2024-09-14T00:00:00"/>
    <x v="0"/>
    <x v="2"/>
    <x v="1"/>
    <s v="No"/>
    <x v="1"/>
    <x v="0"/>
    <n v="20"/>
    <n v="15"/>
    <n v="15"/>
  </r>
  <r>
    <n v="3433"/>
    <x v="196"/>
    <x v="1"/>
    <d v="2024-09-15T00:00:00"/>
    <x v="1"/>
    <x v="1"/>
    <x v="0"/>
    <s v="No"/>
    <x v="1"/>
    <x v="1"/>
    <n v="0"/>
    <n v="1"/>
    <n v="4"/>
  </r>
  <r>
    <n v="3434"/>
    <x v="197"/>
    <x v="0"/>
    <d v="2024-09-16T00:00:00"/>
    <x v="0"/>
    <x v="0"/>
    <x v="2"/>
    <s v="Yes"/>
    <x v="0"/>
    <x v="0"/>
    <n v="20"/>
    <n v="7"/>
    <n v="58"/>
  </r>
  <r>
    <n v="3435"/>
    <x v="198"/>
    <x v="2"/>
    <d v="2024-09-17T00:00:00"/>
    <x v="1"/>
    <x v="2"/>
    <x v="0"/>
    <s v="No"/>
    <x v="1"/>
    <x v="0"/>
    <n v="20"/>
    <n v="10"/>
    <n v="20"/>
  </r>
  <r>
    <n v="3436"/>
    <x v="199"/>
    <x v="1"/>
    <d v="2024-09-18T00:00:00"/>
    <x v="0"/>
    <x v="1"/>
    <x v="0"/>
    <s v="No"/>
    <x v="1"/>
    <x v="1"/>
    <n v="0"/>
    <n v="0"/>
    <n v="5"/>
  </r>
  <r>
    <n v="3437"/>
    <x v="200"/>
    <x v="0"/>
    <d v="2024-09-19T00:00:00"/>
    <x v="1"/>
    <x v="0"/>
    <x v="2"/>
    <s v="Yes"/>
    <x v="0"/>
    <x v="0"/>
    <n v="20"/>
    <n v="7"/>
    <n v="58"/>
  </r>
  <r>
    <n v="3438"/>
    <x v="201"/>
    <x v="2"/>
    <d v="2024-09-20T00:00:00"/>
    <x v="0"/>
    <x v="2"/>
    <x v="1"/>
    <s v="No"/>
    <x v="1"/>
    <x v="0"/>
    <n v="20"/>
    <n v="10"/>
    <n v="20"/>
  </r>
  <r>
    <n v="3439"/>
    <x v="202"/>
    <x v="1"/>
    <d v="2024-09-21T00:00:00"/>
    <x v="1"/>
    <x v="1"/>
    <x v="2"/>
    <s v="No"/>
    <x v="1"/>
    <x v="1"/>
    <n v="0"/>
    <n v="1"/>
    <n v="4"/>
  </r>
  <r>
    <n v="3440"/>
    <x v="203"/>
    <x v="0"/>
    <d v="2024-09-22T00:00:00"/>
    <x v="0"/>
    <x v="0"/>
    <x v="0"/>
    <s v="Yes"/>
    <x v="0"/>
    <x v="0"/>
    <n v="20"/>
    <n v="15"/>
    <n v="50"/>
  </r>
  <r>
    <n v="3441"/>
    <x v="204"/>
    <x v="2"/>
    <d v="2024-09-23T00:00:00"/>
    <x v="1"/>
    <x v="2"/>
    <x v="0"/>
    <s v="No"/>
    <x v="1"/>
    <x v="0"/>
    <n v="20"/>
    <n v="5"/>
    <n v="25"/>
  </r>
  <r>
    <n v="3442"/>
    <x v="205"/>
    <x v="1"/>
    <d v="2024-09-24T00:00:00"/>
    <x v="0"/>
    <x v="1"/>
    <x v="1"/>
    <s v="No"/>
    <x v="1"/>
    <x v="1"/>
    <n v="0"/>
    <n v="0"/>
    <n v="5"/>
  </r>
  <r>
    <n v="3443"/>
    <x v="206"/>
    <x v="0"/>
    <d v="2024-09-25T00:00:00"/>
    <x v="1"/>
    <x v="0"/>
    <x v="2"/>
    <s v="Yes"/>
    <x v="0"/>
    <x v="0"/>
    <n v="20"/>
    <n v="20"/>
    <n v="45"/>
  </r>
  <r>
    <n v="3444"/>
    <x v="207"/>
    <x v="2"/>
    <d v="2024-09-26T00:00:00"/>
    <x v="0"/>
    <x v="2"/>
    <x v="2"/>
    <s v="No"/>
    <x v="1"/>
    <x v="0"/>
    <n v="20"/>
    <n v="12"/>
    <n v="18"/>
  </r>
  <r>
    <n v="3445"/>
    <x v="37"/>
    <x v="1"/>
    <d v="2024-09-27T00:00:00"/>
    <x v="1"/>
    <x v="1"/>
    <x v="0"/>
    <s v="No"/>
    <x v="1"/>
    <x v="1"/>
    <n v="0"/>
    <n v="2"/>
    <n v="3"/>
  </r>
  <r>
    <n v="3446"/>
    <x v="208"/>
    <x v="0"/>
    <d v="2024-09-28T00:00:00"/>
    <x v="0"/>
    <x v="0"/>
    <x v="1"/>
    <s v="Yes"/>
    <x v="0"/>
    <x v="0"/>
    <n v="20"/>
    <n v="5"/>
    <n v="60"/>
  </r>
  <r>
    <n v="3447"/>
    <x v="209"/>
    <x v="2"/>
    <d v="2024-09-29T00:00:00"/>
    <x v="1"/>
    <x v="2"/>
    <x v="0"/>
    <s v="No"/>
    <x v="1"/>
    <x v="0"/>
    <n v="20"/>
    <n v="10"/>
    <n v="20"/>
  </r>
  <r>
    <n v="3448"/>
    <x v="210"/>
    <x v="1"/>
    <d v="2024-09-30T00:00:00"/>
    <x v="0"/>
    <x v="1"/>
    <x v="2"/>
    <s v="No"/>
    <x v="1"/>
    <x v="1"/>
    <n v="0"/>
    <n v="0"/>
    <n v="5"/>
  </r>
  <r>
    <n v="3449"/>
    <x v="211"/>
    <x v="0"/>
    <d v="2024-10-01T00:00:00"/>
    <x v="1"/>
    <x v="0"/>
    <x v="0"/>
    <s v="Yes"/>
    <x v="0"/>
    <x v="0"/>
    <n v="20"/>
    <n v="3"/>
    <n v="62"/>
  </r>
  <r>
    <n v="3450"/>
    <x v="212"/>
    <x v="2"/>
    <d v="2024-10-02T00:00:00"/>
    <x v="0"/>
    <x v="2"/>
    <x v="1"/>
    <s v="No"/>
    <x v="1"/>
    <x v="0"/>
    <n v="20"/>
    <n v="15"/>
    <n v="15"/>
  </r>
  <r>
    <n v="3451"/>
    <x v="213"/>
    <x v="1"/>
    <d v="2024-10-03T00:00:00"/>
    <x v="1"/>
    <x v="1"/>
    <x v="0"/>
    <s v="No"/>
    <x v="1"/>
    <x v="1"/>
    <n v="0"/>
    <n v="1"/>
    <n v="4"/>
  </r>
  <r>
    <n v="3452"/>
    <x v="191"/>
    <x v="0"/>
    <d v="2024-10-04T00:00:00"/>
    <x v="0"/>
    <x v="0"/>
    <x v="2"/>
    <s v="Yes"/>
    <x v="0"/>
    <x v="0"/>
    <n v="20"/>
    <n v="7"/>
    <n v="58"/>
  </r>
  <r>
    <n v="3453"/>
    <x v="45"/>
    <x v="2"/>
    <d v="2024-10-05T00:00:00"/>
    <x v="1"/>
    <x v="2"/>
    <x v="0"/>
    <s v="No"/>
    <x v="1"/>
    <x v="0"/>
    <n v="20"/>
    <n v="10"/>
    <n v="20"/>
  </r>
  <r>
    <n v="3454"/>
    <x v="214"/>
    <x v="1"/>
    <d v="2024-10-06T00:00:00"/>
    <x v="0"/>
    <x v="1"/>
    <x v="1"/>
    <s v="No"/>
    <x v="1"/>
    <x v="1"/>
    <n v="0"/>
    <n v="0"/>
    <n v="5"/>
  </r>
  <r>
    <n v="3455"/>
    <x v="215"/>
    <x v="0"/>
    <d v="2024-10-07T00:00:00"/>
    <x v="1"/>
    <x v="0"/>
    <x v="0"/>
    <s v="Yes"/>
    <x v="0"/>
    <x v="0"/>
    <n v="20"/>
    <n v="20"/>
    <n v="45"/>
  </r>
  <r>
    <n v="3456"/>
    <x v="216"/>
    <x v="2"/>
    <d v="2024-10-08T00:00:00"/>
    <x v="0"/>
    <x v="2"/>
    <x v="2"/>
    <s v="No"/>
    <x v="1"/>
    <x v="0"/>
    <n v="20"/>
    <n v="15"/>
    <n v="15"/>
  </r>
  <r>
    <n v="3457"/>
    <x v="217"/>
    <x v="1"/>
    <d v="2024-10-09T00:00:00"/>
    <x v="1"/>
    <x v="1"/>
    <x v="0"/>
    <s v="No"/>
    <x v="1"/>
    <x v="1"/>
    <n v="0"/>
    <n v="1"/>
    <n v="4"/>
  </r>
  <r>
    <n v="3458"/>
    <x v="218"/>
    <x v="0"/>
    <d v="2024-10-10T00:00:00"/>
    <x v="0"/>
    <x v="0"/>
    <x v="1"/>
    <s v="Yes"/>
    <x v="0"/>
    <x v="0"/>
    <n v="20"/>
    <n v="3"/>
    <n v="62"/>
  </r>
  <r>
    <n v="3459"/>
    <x v="219"/>
    <x v="2"/>
    <d v="2024-10-11T00:00:00"/>
    <x v="1"/>
    <x v="2"/>
    <x v="0"/>
    <s v="No"/>
    <x v="1"/>
    <x v="0"/>
    <n v="20"/>
    <n v="10"/>
    <n v="20"/>
  </r>
  <r>
    <n v="3460"/>
    <x v="127"/>
    <x v="1"/>
    <d v="2024-10-12T00:00:00"/>
    <x v="0"/>
    <x v="1"/>
    <x v="2"/>
    <s v="No"/>
    <x v="1"/>
    <x v="1"/>
    <n v="0"/>
    <n v="0"/>
    <n v="5"/>
  </r>
  <r>
    <n v="3461"/>
    <x v="220"/>
    <x v="0"/>
    <d v="2024-10-13T00:00:00"/>
    <x v="1"/>
    <x v="0"/>
    <x v="0"/>
    <s v="Yes"/>
    <x v="0"/>
    <x v="0"/>
    <n v="20"/>
    <n v="15"/>
    <n v="50"/>
  </r>
  <r>
    <n v="3462"/>
    <x v="221"/>
    <x v="2"/>
    <d v="2024-10-14T00:00:00"/>
    <x v="0"/>
    <x v="2"/>
    <x v="1"/>
    <s v="No"/>
    <x v="1"/>
    <x v="0"/>
    <n v="20"/>
    <n v="15"/>
    <n v="15"/>
  </r>
  <r>
    <n v="3463"/>
    <x v="222"/>
    <x v="1"/>
    <d v="2024-10-15T00:00:00"/>
    <x v="1"/>
    <x v="1"/>
    <x v="0"/>
    <s v="No"/>
    <x v="1"/>
    <x v="1"/>
    <n v="0"/>
    <n v="1"/>
    <n v="4"/>
  </r>
  <r>
    <n v="3464"/>
    <x v="223"/>
    <x v="0"/>
    <d v="2024-10-16T00:00:00"/>
    <x v="0"/>
    <x v="0"/>
    <x v="2"/>
    <s v="Yes"/>
    <x v="0"/>
    <x v="0"/>
    <n v="20"/>
    <n v="7"/>
    <n v="58"/>
  </r>
  <r>
    <n v="3465"/>
    <x v="224"/>
    <x v="2"/>
    <d v="2024-10-17T00:00:00"/>
    <x v="1"/>
    <x v="2"/>
    <x v="0"/>
    <s v="No"/>
    <x v="1"/>
    <x v="0"/>
    <n v="20"/>
    <n v="10"/>
    <n v="20"/>
  </r>
  <r>
    <n v="3466"/>
    <x v="225"/>
    <x v="1"/>
    <d v="2024-10-18T00:00:00"/>
    <x v="0"/>
    <x v="1"/>
    <x v="1"/>
    <s v="No"/>
    <x v="1"/>
    <x v="1"/>
    <n v="0"/>
    <n v="0"/>
    <n v="5"/>
  </r>
  <r>
    <n v="3467"/>
    <x v="226"/>
    <x v="0"/>
    <d v="2024-10-19T00:00:00"/>
    <x v="1"/>
    <x v="0"/>
    <x v="0"/>
    <s v="Yes"/>
    <x v="0"/>
    <x v="0"/>
    <n v="20"/>
    <n v="15"/>
    <n v="50"/>
  </r>
  <r>
    <n v="3468"/>
    <x v="227"/>
    <x v="2"/>
    <d v="2024-10-20T00:00:00"/>
    <x v="0"/>
    <x v="2"/>
    <x v="2"/>
    <s v="No"/>
    <x v="1"/>
    <x v="0"/>
    <n v="20"/>
    <n v="12"/>
    <n v="18"/>
  </r>
  <r>
    <n v="3469"/>
    <x v="228"/>
    <x v="1"/>
    <d v="2024-10-21T00:00:00"/>
    <x v="1"/>
    <x v="1"/>
    <x v="0"/>
    <s v="No"/>
    <x v="1"/>
    <x v="1"/>
    <n v="0"/>
    <n v="2"/>
    <n v="3"/>
  </r>
  <r>
    <n v="3470"/>
    <x v="229"/>
    <x v="0"/>
    <d v="2024-10-22T00:00:00"/>
    <x v="0"/>
    <x v="0"/>
    <x v="1"/>
    <s v="Yes"/>
    <x v="0"/>
    <x v="0"/>
    <n v="20"/>
    <n v="5"/>
    <n v="60"/>
  </r>
  <r>
    <n v="3471"/>
    <x v="230"/>
    <x v="2"/>
    <d v="2024-10-23T00:00:00"/>
    <x v="1"/>
    <x v="2"/>
    <x v="0"/>
    <s v="No"/>
    <x v="1"/>
    <x v="0"/>
    <n v="20"/>
    <n v="10"/>
    <n v="20"/>
  </r>
  <r>
    <n v="3472"/>
    <x v="231"/>
    <x v="1"/>
    <d v="2024-10-24T00:00:00"/>
    <x v="0"/>
    <x v="1"/>
    <x v="2"/>
    <s v="No"/>
    <x v="1"/>
    <x v="1"/>
    <n v="0"/>
    <n v="0"/>
    <n v="5"/>
  </r>
  <r>
    <n v="3473"/>
    <x v="140"/>
    <x v="0"/>
    <d v="2024-10-25T00:00:00"/>
    <x v="1"/>
    <x v="0"/>
    <x v="0"/>
    <s v="Yes"/>
    <x v="0"/>
    <x v="0"/>
    <n v="20"/>
    <n v="3"/>
    <n v="62"/>
  </r>
  <r>
    <n v="3474"/>
    <x v="232"/>
    <x v="2"/>
    <d v="2024-10-26T00:00:00"/>
    <x v="0"/>
    <x v="2"/>
    <x v="1"/>
    <s v="No"/>
    <x v="1"/>
    <x v="0"/>
    <n v="20"/>
    <n v="15"/>
    <n v="15"/>
  </r>
  <r>
    <n v="3475"/>
    <x v="233"/>
    <x v="1"/>
    <d v="2024-10-27T00:00:00"/>
    <x v="1"/>
    <x v="1"/>
    <x v="0"/>
    <s v="No"/>
    <x v="1"/>
    <x v="1"/>
    <n v="0"/>
    <n v="1"/>
    <n v="4"/>
  </r>
  <r>
    <n v="3476"/>
    <x v="234"/>
    <x v="0"/>
    <d v="2024-10-28T00:00:00"/>
    <x v="0"/>
    <x v="0"/>
    <x v="2"/>
    <s v="Yes"/>
    <x v="0"/>
    <x v="0"/>
    <n v="20"/>
    <n v="7"/>
    <n v="58"/>
  </r>
  <r>
    <n v="3477"/>
    <x v="235"/>
    <x v="2"/>
    <d v="2024-10-29T00:00:00"/>
    <x v="1"/>
    <x v="2"/>
    <x v="0"/>
    <s v="No"/>
    <x v="1"/>
    <x v="0"/>
    <n v="20"/>
    <n v="10"/>
    <n v="20"/>
  </r>
  <r>
    <n v="3478"/>
    <x v="236"/>
    <x v="1"/>
    <d v="2024-10-30T00:00:00"/>
    <x v="0"/>
    <x v="1"/>
    <x v="1"/>
    <s v="No"/>
    <x v="1"/>
    <x v="1"/>
    <n v="0"/>
    <n v="0"/>
    <n v="5"/>
  </r>
  <r>
    <n v="3479"/>
    <x v="237"/>
    <x v="0"/>
    <d v="2024-10-31T00:00:00"/>
    <x v="1"/>
    <x v="0"/>
    <x v="0"/>
    <s v="Yes"/>
    <x v="0"/>
    <x v="0"/>
    <n v="20"/>
    <n v="20"/>
    <n v="45"/>
  </r>
  <r>
    <n v="3480"/>
    <x v="238"/>
    <x v="2"/>
    <d v="2024-11-01T00:00:00"/>
    <x v="0"/>
    <x v="2"/>
    <x v="2"/>
    <s v="No"/>
    <x v="1"/>
    <x v="0"/>
    <n v="20"/>
    <n v="15"/>
    <n v="15"/>
  </r>
  <r>
    <n v="3481"/>
    <x v="239"/>
    <x v="1"/>
    <d v="2024-11-02T00:00:00"/>
    <x v="1"/>
    <x v="1"/>
    <x v="0"/>
    <s v="No"/>
    <x v="1"/>
    <x v="1"/>
    <n v="0"/>
    <n v="1"/>
    <n v="4"/>
  </r>
  <r>
    <n v="3482"/>
    <x v="240"/>
    <x v="0"/>
    <d v="2024-11-03T00:00:00"/>
    <x v="0"/>
    <x v="0"/>
    <x v="1"/>
    <s v="Yes"/>
    <x v="0"/>
    <x v="0"/>
    <n v="20"/>
    <n v="3"/>
    <n v="62"/>
  </r>
  <r>
    <n v="3483"/>
    <x v="241"/>
    <x v="2"/>
    <d v="2024-11-04T00:00:00"/>
    <x v="1"/>
    <x v="2"/>
    <x v="0"/>
    <s v="No"/>
    <x v="1"/>
    <x v="0"/>
    <n v="20"/>
    <n v="10"/>
    <n v="20"/>
  </r>
  <r>
    <n v="3484"/>
    <x v="242"/>
    <x v="1"/>
    <d v="2024-11-05T00:00:00"/>
    <x v="0"/>
    <x v="1"/>
    <x v="2"/>
    <s v="No"/>
    <x v="1"/>
    <x v="1"/>
    <n v="0"/>
    <n v="0"/>
    <n v="5"/>
  </r>
  <r>
    <n v="3485"/>
    <x v="243"/>
    <x v="0"/>
    <d v="2024-11-06T00:00:00"/>
    <x v="1"/>
    <x v="0"/>
    <x v="0"/>
    <s v="Yes"/>
    <x v="0"/>
    <x v="0"/>
    <n v="20"/>
    <n v="15"/>
    <n v="50"/>
  </r>
  <r>
    <n v="3486"/>
    <x v="244"/>
    <x v="1"/>
    <d v="2024-11-07T00:00:00"/>
    <x v="0"/>
    <x v="1"/>
    <x v="0"/>
    <s v="No"/>
    <x v="1"/>
    <x v="1"/>
    <n v="0"/>
    <n v="0"/>
    <n v="5"/>
  </r>
  <r>
    <n v="3487"/>
    <x v="245"/>
    <x v="0"/>
    <d v="2024-11-08T00:00:00"/>
    <x v="1"/>
    <x v="0"/>
    <x v="2"/>
    <s v="Yes"/>
    <x v="0"/>
    <x v="0"/>
    <n v="20"/>
    <n v="7"/>
    <n v="58"/>
  </r>
  <r>
    <n v="3488"/>
    <x v="246"/>
    <x v="2"/>
    <d v="2024-11-09T00:00:00"/>
    <x v="0"/>
    <x v="2"/>
    <x v="1"/>
    <s v="No"/>
    <x v="1"/>
    <x v="0"/>
    <n v="20"/>
    <n v="10"/>
    <n v="20"/>
  </r>
  <r>
    <n v="3489"/>
    <x v="247"/>
    <x v="1"/>
    <d v="2024-11-10T00:00:00"/>
    <x v="1"/>
    <x v="1"/>
    <x v="2"/>
    <s v="No"/>
    <x v="1"/>
    <x v="1"/>
    <n v="0"/>
    <n v="1"/>
    <n v="4"/>
  </r>
  <r>
    <n v="3490"/>
    <x v="248"/>
    <x v="0"/>
    <d v="2024-11-11T00:00:00"/>
    <x v="0"/>
    <x v="0"/>
    <x v="0"/>
    <s v="Yes"/>
    <x v="0"/>
    <x v="0"/>
    <n v="20"/>
    <n v="15"/>
    <n v="50"/>
  </r>
  <r>
    <n v="3491"/>
    <x v="249"/>
    <x v="2"/>
    <d v="2024-11-12T00:00:00"/>
    <x v="1"/>
    <x v="2"/>
    <x v="0"/>
    <s v="No"/>
    <x v="1"/>
    <x v="0"/>
    <n v="20"/>
    <n v="5"/>
    <n v="25"/>
  </r>
  <r>
    <n v="3492"/>
    <x v="250"/>
    <x v="1"/>
    <d v="2024-11-13T00:00:00"/>
    <x v="0"/>
    <x v="1"/>
    <x v="1"/>
    <s v="No"/>
    <x v="1"/>
    <x v="1"/>
    <n v="0"/>
    <n v="0"/>
    <n v="5"/>
  </r>
  <r>
    <n v="3493"/>
    <x v="251"/>
    <x v="0"/>
    <d v="2024-11-14T00:00:00"/>
    <x v="1"/>
    <x v="0"/>
    <x v="2"/>
    <s v="Yes"/>
    <x v="0"/>
    <x v="0"/>
    <n v="20"/>
    <n v="20"/>
    <n v="45"/>
  </r>
  <r>
    <n v="3494"/>
    <x v="252"/>
    <x v="2"/>
    <d v="2024-11-15T00:00:00"/>
    <x v="0"/>
    <x v="2"/>
    <x v="2"/>
    <s v="No"/>
    <x v="1"/>
    <x v="0"/>
    <n v="20"/>
    <n v="12"/>
    <n v="18"/>
  </r>
  <r>
    <n v="3495"/>
    <x v="253"/>
    <x v="1"/>
    <d v="2024-11-16T00:00:00"/>
    <x v="1"/>
    <x v="1"/>
    <x v="0"/>
    <s v="No"/>
    <x v="1"/>
    <x v="1"/>
    <n v="0"/>
    <n v="2"/>
    <n v="3"/>
  </r>
  <r>
    <n v="3496"/>
    <x v="254"/>
    <x v="0"/>
    <d v="2024-11-17T00:00:00"/>
    <x v="0"/>
    <x v="0"/>
    <x v="1"/>
    <s v="Yes"/>
    <x v="0"/>
    <x v="0"/>
    <n v="20"/>
    <n v="5"/>
    <n v="60"/>
  </r>
  <r>
    <n v="3497"/>
    <x v="255"/>
    <x v="2"/>
    <d v="2024-11-18T00:00:00"/>
    <x v="1"/>
    <x v="2"/>
    <x v="0"/>
    <s v="No"/>
    <x v="1"/>
    <x v="0"/>
    <n v="20"/>
    <n v="10"/>
    <n v="20"/>
  </r>
  <r>
    <n v="3498"/>
    <x v="256"/>
    <x v="1"/>
    <d v="2024-11-19T00:00:00"/>
    <x v="0"/>
    <x v="1"/>
    <x v="2"/>
    <s v="No"/>
    <x v="1"/>
    <x v="1"/>
    <n v="0"/>
    <n v="0"/>
    <n v="5"/>
  </r>
  <r>
    <n v="3499"/>
    <x v="257"/>
    <x v="0"/>
    <d v="2024-11-20T00:00:00"/>
    <x v="1"/>
    <x v="0"/>
    <x v="0"/>
    <s v="Yes"/>
    <x v="0"/>
    <x v="0"/>
    <n v="20"/>
    <n v="3"/>
    <n v="62"/>
  </r>
  <r>
    <n v="3500"/>
    <x v="258"/>
    <x v="2"/>
    <d v="2024-11-21T00:00:00"/>
    <x v="0"/>
    <x v="2"/>
    <x v="1"/>
    <s v="No"/>
    <x v="1"/>
    <x v="0"/>
    <n v="20"/>
    <n v="15"/>
    <n v="15"/>
  </r>
  <r>
    <n v="3501"/>
    <x v="259"/>
    <x v="1"/>
    <d v="2024-11-22T00:00:00"/>
    <x v="1"/>
    <x v="1"/>
    <x v="0"/>
    <s v="No"/>
    <x v="1"/>
    <x v="1"/>
    <n v="0"/>
    <n v="1"/>
    <n v="4"/>
  </r>
  <r>
    <n v="3502"/>
    <x v="260"/>
    <x v="0"/>
    <d v="2024-11-23T00:00:00"/>
    <x v="0"/>
    <x v="0"/>
    <x v="2"/>
    <s v="Yes"/>
    <x v="0"/>
    <x v="0"/>
    <n v="20"/>
    <n v="7"/>
    <n v="58"/>
  </r>
  <r>
    <n v="3503"/>
    <x v="119"/>
    <x v="2"/>
    <d v="2024-11-24T00:00:00"/>
    <x v="1"/>
    <x v="2"/>
    <x v="0"/>
    <s v="No"/>
    <x v="1"/>
    <x v="0"/>
    <n v="20"/>
    <n v="10"/>
    <n v="20"/>
  </r>
  <r>
    <n v="3504"/>
    <x v="261"/>
    <x v="1"/>
    <d v="2024-11-25T00:00:00"/>
    <x v="0"/>
    <x v="1"/>
    <x v="1"/>
    <s v="No"/>
    <x v="1"/>
    <x v="1"/>
    <n v="0"/>
    <n v="0"/>
    <n v="5"/>
  </r>
  <r>
    <n v="3505"/>
    <x v="262"/>
    <x v="0"/>
    <d v="2024-11-26T00:00:00"/>
    <x v="1"/>
    <x v="0"/>
    <x v="0"/>
    <s v="Yes"/>
    <x v="0"/>
    <x v="0"/>
    <n v="20"/>
    <n v="20"/>
    <n v="45"/>
  </r>
  <r>
    <n v="3506"/>
    <x v="263"/>
    <x v="2"/>
    <d v="2024-11-27T00:00:00"/>
    <x v="0"/>
    <x v="2"/>
    <x v="2"/>
    <s v="No"/>
    <x v="1"/>
    <x v="0"/>
    <n v="20"/>
    <n v="15"/>
    <n v="15"/>
  </r>
  <r>
    <n v="3507"/>
    <x v="264"/>
    <x v="1"/>
    <d v="2024-11-28T00:00:00"/>
    <x v="1"/>
    <x v="1"/>
    <x v="0"/>
    <s v="No"/>
    <x v="1"/>
    <x v="1"/>
    <n v="0"/>
    <n v="1"/>
    <n v="4"/>
  </r>
  <r>
    <n v="3508"/>
    <x v="265"/>
    <x v="0"/>
    <d v="2024-11-29T00:00:00"/>
    <x v="0"/>
    <x v="0"/>
    <x v="1"/>
    <s v="Yes"/>
    <x v="0"/>
    <x v="0"/>
    <n v="20"/>
    <n v="3"/>
    <n v="62"/>
  </r>
  <r>
    <n v="3509"/>
    <x v="266"/>
    <x v="2"/>
    <d v="2024-11-30T00:00:00"/>
    <x v="1"/>
    <x v="2"/>
    <x v="0"/>
    <s v="No"/>
    <x v="1"/>
    <x v="0"/>
    <n v="20"/>
    <n v="10"/>
    <n v="20"/>
  </r>
  <r>
    <n v="3510"/>
    <x v="267"/>
    <x v="1"/>
    <d v="2024-12-01T00:00:00"/>
    <x v="0"/>
    <x v="1"/>
    <x v="2"/>
    <s v="No"/>
    <x v="1"/>
    <x v="1"/>
    <n v="0"/>
    <n v="0"/>
    <n v="5"/>
  </r>
  <r>
    <n v="3511"/>
    <x v="268"/>
    <x v="0"/>
    <d v="2024-12-02T00:00:00"/>
    <x v="1"/>
    <x v="0"/>
    <x v="0"/>
    <s v="Yes"/>
    <x v="0"/>
    <x v="0"/>
    <n v="20"/>
    <n v="15"/>
    <n v="50"/>
  </r>
  <r>
    <n v="3512"/>
    <x v="269"/>
    <x v="2"/>
    <d v="2024-12-03T00:00:00"/>
    <x v="0"/>
    <x v="2"/>
    <x v="1"/>
    <s v="No"/>
    <x v="1"/>
    <x v="0"/>
    <n v="20"/>
    <n v="15"/>
    <n v="15"/>
  </r>
  <r>
    <n v="3513"/>
    <x v="270"/>
    <x v="1"/>
    <d v="2024-12-04T00:00:00"/>
    <x v="1"/>
    <x v="1"/>
    <x v="0"/>
    <s v="No"/>
    <x v="1"/>
    <x v="1"/>
    <n v="0"/>
    <n v="1"/>
    <n v="4"/>
  </r>
  <r>
    <n v="3514"/>
    <x v="271"/>
    <x v="0"/>
    <d v="2024-12-05T00:00:00"/>
    <x v="0"/>
    <x v="0"/>
    <x v="2"/>
    <s v="Yes"/>
    <x v="0"/>
    <x v="0"/>
    <n v="20"/>
    <n v="7"/>
    <n v="58"/>
  </r>
  <r>
    <n v="3515"/>
    <x v="130"/>
    <x v="2"/>
    <d v="2024-12-06T00:00:00"/>
    <x v="1"/>
    <x v="2"/>
    <x v="0"/>
    <s v="No"/>
    <x v="1"/>
    <x v="0"/>
    <n v="20"/>
    <n v="10"/>
    <n v="20"/>
  </r>
  <r>
    <n v="3516"/>
    <x v="131"/>
    <x v="1"/>
    <d v="2024-12-07T00:00:00"/>
    <x v="0"/>
    <x v="1"/>
    <x v="1"/>
    <s v="No"/>
    <x v="1"/>
    <x v="1"/>
    <n v="0"/>
    <n v="0"/>
    <n v="5"/>
  </r>
  <r>
    <n v="3517"/>
    <x v="181"/>
    <x v="0"/>
    <d v="2024-12-08T00:00:00"/>
    <x v="1"/>
    <x v="0"/>
    <x v="0"/>
    <s v="Yes"/>
    <x v="0"/>
    <x v="0"/>
    <n v="20"/>
    <n v="20"/>
    <n v="45"/>
  </r>
  <r>
    <n v="3518"/>
    <x v="272"/>
    <x v="2"/>
    <d v="2024-12-09T00:00:00"/>
    <x v="0"/>
    <x v="2"/>
    <x v="2"/>
    <s v="No"/>
    <x v="1"/>
    <x v="0"/>
    <n v="20"/>
    <n v="12"/>
    <n v="18"/>
  </r>
  <r>
    <n v="3519"/>
    <x v="273"/>
    <x v="1"/>
    <d v="2024-12-10T00:00:00"/>
    <x v="1"/>
    <x v="1"/>
    <x v="0"/>
    <s v="No"/>
    <x v="1"/>
    <x v="1"/>
    <n v="0"/>
    <n v="2"/>
    <n v="3"/>
  </r>
  <r>
    <n v="3520"/>
    <x v="274"/>
    <x v="0"/>
    <d v="2024-12-11T00:00:00"/>
    <x v="0"/>
    <x v="0"/>
    <x v="1"/>
    <s v="Yes"/>
    <x v="0"/>
    <x v="0"/>
    <n v="20"/>
    <n v="5"/>
    <n v="60"/>
  </r>
  <r>
    <n v="3521"/>
    <x v="275"/>
    <x v="2"/>
    <d v="2024-12-12T00:00:00"/>
    <x v="1"/>
    <x v="2"/>
    <x v="0"/>
    <s v="No"/>
    <x v="1"/>
    <x v="0"/>
    <n v="20"/>
    <n v="10"/>
    <n v="20"/>
  </r>
  <r>
    <n v="3522"/>
    <x v="276"/>
    <x v="1"/>
    <d v="2024-12-13T00:00:00"/>
    <x v="0"/>
    <x v="1"/>
    <x v="2"/>
    <s v="No"/>
    <x v="1"/>
    <x v="1"/>
    <n v="0"/>
    <n v="0"/>
    <n v="5"/>
  </r>
  <r>
    <n v="3523"/>
    <x v="277"/>
    <x v="0"/>
    <d v="2024-12-14T00:00:00"/>
    <x v="1"/>
    <x v="0"/>
    <x v="0"/>
    <s v="Yes"/>
    <x v="0"/>
    <x v="0"/>
    <n v="20"/>
    <n v="3"/>
    <n v="62"/>
  </r>
  <r>
    <n v="3524"/>
    <x v="278"/>
    <x v="2"/>
    <d v="2024-12-15T00:00:00"/>
    <x v="0"/>
    <x v="2"/>
    <x v="1"/>
    <s v="No"/>
    <x v="1"/>
    <x v="0"/>
    <n v="20"/>
    <n v="15"/>
    <n v="15"/>
  </r>
  <r>
    <n v="3525"/>
    <x v="279"/>
    <x v="1"/>
    <d v="2024-12-16T00:00:00"/>
    <x v="1"/>
    <x v="1"/>
    <x v="0"/>
    <s v="No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22186-B47B-48CB-883B-8D6C68C2AA76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50:C5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9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0411B-4CDA-4200-8F5D-776BC29B245B}" name="tbl_annual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1:C15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4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/>
  </dataFields>
  <formats count="4">
    <format dxfId="94">
      <pivotArea collapsedLevelsAreSubtotals="1" fieldPosition="0">
        <references count="1">
          <reference field="6" count="0"/>
        </references>
      </pivotArea>
    </format>
    <format dxfId="93">
      <pivotArea collapsedLevelsAreSubtotals="1" fieldPosition="0">
        <references count="2">
          <reference field="4" count="1">
            <x v="0"/>
          </reference>
          <reference field="6" count="0" selected="0"/>
        </references>
      </pivotArea>
    </format>
    <format dxfId="92">
      <pivotArea collapsedLevelsAreSubtotals="1" fieldPosition="0">
        <references count="2">
          <reference field="4" count="1">
            <x v="1"/>
          </reference>
          <reference field="6" count="0" selected="0"/>
        </references>
      </pivotArea>
    </format>
    <format dxfId="91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B8227-DD60-4013-B660-26039364460B}" name="tbl_easeasonpass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8:C4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9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C320BF4-B7D5-46D5-948A-942F3C44E665}" sourceName="Subscription Type">
  <pivotTables>
    <pivotTable tabId="3" name="tbl_annual_total"/>
    <pivotTable tabId="3" name="tbl_easeasonpass_total"/>
    <pivotTable tabId="3" name="Tabela dinâmica1"/>
  </pivotTables>
  <data>
    <tabular pivotCacheId="157332419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0168657-8732-48C9-A675-3E1949891A72}" cache="SegmentaçãodeDados_Subscription_Type" caption="Subscription Type" style="SlicerStyleLight3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FCCCC19C-86DE-4195-B12D-44821BC12359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09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08"/>
    <tableColumn id="2" xr3:uid="{53DD39D0-2220-4121-9E9D-4EAA7E151C0F}" name="Name" dataDxfId="107"/>
    <tableColumn id="3" xr3:uid="{4F5FF271-4C57-4BE0-8F2C-F82C8551625C}" name="Plan" dataDxfId="106"/>
    <tableColumn id="4" xr3:uid="{8C17EB93-79B9-4E55-B8F7-BEB82F8253E9}" name="Start Date" dataDxfId="105"/>
    <tableColumn id="5" xr3:uid="{48CEDF9B-1689-482A-A828-5CCE7713264A}" name="Auto Renewal" dataDxfId="104"/>
    <tableColumn id="6" xr3:uid="{78B82374-9AA7-4E38-AE4F-78CDE6C83720}" name="Subscription Price" dataDxfId="103" dataCellStyle="Moeda"/>
    <tableColumn id="7" xr3:uid="{F2433F68-AF33-49D0-B1FB-19A396074EDE}" name="Subscription Type" dataDxfId="102"/>
    <tableColumn id="8" xr3:uid="{FD4D9C95-F6E5-4933-9068-A71FF7DF9343}" name="EA Play Season Pass" dataDxfId="101"/>
    <tableColumn id="13" xr3:uid="{978DD0D2-834E-4CE4-A39B-30976086932F}" name="EA Play Season Pass_x000a_Price" dataDxfId="100" dataCellStyle="Moeda"/>
    <tableColumn id="9" xr3:uid="{6E29F111-C395-4580-9DAD-3407D9E8B1A4}" name="Minecraft Season Pass" dataDxfId="99"/>
    <tableColumn id="10" xr3:uid="{EF544EAA-7F25-4FD5-A10E-8E62804DB9E3}" name="Minecraft Season Pass Price" dataDxfId="98" dataCellStyle="Moeda"/>
    <tableColumn id="11" xr3:uid="{7F6EB64A-1F07-4E48-9F0F-AC7D9DCD26F8}" name="Coupon Value" dataDxfId="97" dataCellStyle="Moeda"/>
    <tableColumn id="12" xr3:uid="{2B04ABC8-DE6F-426E-ADC0-D8AFC68CA58E}" name="Total Value" dataDxfId="9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G1" zoomScale="90" zoomScaleNormal="90" workbookViewId="0">
      <selection activeCell="E19" sqref="E19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F54"/>
  <sheetViews>
    <sheetView showGridLines="0" topLeftCell="C25" workbookViewId="0">
      <selection activeCell="F54" sqref="F54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26.140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2:3" x14ac:dyDescent="0.25">
      <c r="B6" t="s">
        <v>317</v>
      </c>
    </row>
    <row r="7" spans="2:3" x14ac:dyDescent="0.25">
      <c r="B7" t="s">
        <v>316</v>
      </c>
    </row>
    <row r="11" spans="2:3" x14ac:dyDescent="0.25">
      <c r="B11" s="12" t="s">
        <v>313</v>
      </c>
      <c r="C11" t="s">
        <v>315</v>
      </c>
    </row>
    <row r="12" spans="2:3" x14ac:dyDescent="0.25">
      <c r="B12" s="13" t="s">
        <v>24</v>
      </c>
      <c r="C12" s="15">
        <v>1754</v>
      </c>
    </row>
    <row r="13" spans="2:3" x14ac:dyDescent="0.25">
      <c r="B13" s="14" t="s">
        <v>23</v>
      </c>
      <c r="C13" s="16">
        <v>217</v>
      </c>
    </row>
    <row r="14" spans="2:3" x14ac:dyDescent="0.25">
      <c r="B14" s="14" t="s">
        <v>19</v>
      </c>
      <c r="C14" s="16">
        <v>1537</v>
      </c>
    </row>
    <row r="15" spans="2:3" x14ac:dyDescent="0.25">
      <c r="B15" s="13" t="s">
        <v>314</v>
      </c>
      <c r="C15" s="16">
        <v>1754</v>
      </c>
    </row>
    <row r="34" spans="2:5" x14ac:dyDescent="0.25">
      <c r="B34" t="s">
        <v>319</v>
      </c>
    </row>
    <row r="36" spans="2:5" x14ac:dyDescent="0.25">
      <c r="B36" s="12" t="s">
        <v>16</v>
      </c>
      <c r="C36" t="s">
        <v>24</v>
      </c>
    </row>
    <row r="38" spans="2:5" x14ac:dyDescent="0.25">
      <c r="B38" s="12" t="s">
        <v>313</v>
      </c>
      <c r="C38" t="s">
        <v>318</v>
      </c>
    </row>
    <row r="39" spans="2:5" x14ac:dyDescent="0.25">
      <c r="B39" s="13" t="s">
        <v>22</v>
      </c>
      <c r="C39" s="19">
        <v>0</v>
      </c>
    </row>
    <row r="40" spans="2:5" x14ac:dyDescent="0.25">
      <c r="B40" s="13" t="s">
        <v>26</v>
      </c>
      <c r="C40" s="19">
        <v>0</v>
      </c>
    </row>
    <row r="41" spans="2:5" x14ac:dyDescent="0.25">
      <c r="B41" s="13" t="s">
        <v>18</v>
      </c>
      <c r="C41" s="19">
        <v>600</v>
      </c>
    </row>
    <row r="42" spans="2:5" x14ac:dyDescent="0.25">
      <c r="B42" s="13" t="s">
        <v>314</v>
      </c>
      <c r="C42" s="16">
        <v>600</v>
      </c>
      <c r="E42" s="20">
        <f>GETPIVOTDATA("EA Play Season Pass
Price",$B$38)</f>
        <v>600</v>
      </c>
    </row>
    <row r="45" spans="2:5" x14ac:dyDescent="0.25">
      <c r="B45" s="13" t="s">
        <v>320</v>
      </c>
    </row>
    <row r="48" spans="2:5" x14ac:dyDescent="0.25">
      <c r="B48" s="12" t="s">
        <v>16</v>
      </c>
      <c r="C48" t="s">
        <v>24</v>
      </c>
    </row>
    <row r="50" spans="2:6" x14ac:dyDescent="0.25">
      <c r="B50" s="12" t="s">
        <v>313</v>
      </c>
      <c r="C50" t="s">
        <v>321</v>
      </c>
    </row>
    <row r="51" spans="2:6" x14ac:dyDescent="0.25">
      <c r="B51" s="13" t="s">
        <v>22</v>
      </c>
      <c r="C51" s="19">
        <v>0</v>
      </c>
    </row>
    <row r="52" spans="2:6" x14ac:dyDescent="0.25">
      <c r="B52" s="13" t="s">
        <v>26</v>
      </c>
      <c r="C52" s="19">
        <v>540</v>
      </c>
    </row>
    <row r="53" spans="2:6" x14ac:dyDescent="0.25">
      <c r="B53" s="13" t="s">
        <v>18</v>
      </c>
      <c r="C53" s="19">
        <v>400</v>
      </c>
    </row>
    <row r="54" spans="2:6" x14ac:dyDescent="0.25">
      <c r="B54" s="13" t="s">
        <v>314</v>
      </c>
      <c r="C54" s="16">
        <v>940</v>
      </c>
      <c r="F54" s="20">
        <f>GETPIVOTDATA("Minecraft Season Pass Price",$B$50)</f>
        <v>940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CS277"/>
  <sheetViews>
    <sheetView showGridLines="0" showRowColHeaders="0" tabSelected="1" zoomScale="62" zoomScaleNormal="62" workbookViewId="0">
      <selection activeCell="H50" sqref="H50"/>
    </sheetView>
  </sheetViews>
  <sheetFormatPr defaultRowHeight="15" x14ac:dyDescent="0.25"/>
  <cols>
    <col min="1" max="1" width="27.5703125" style="18" customWidth="1"/>
    <col min="2" max="2" width="3.5703125" customWidth="1"/>
    <col min="12" max="12" width="6.5703125" customWidth="1"/>
  </cols>
  <sheetData>
    <row r="2" spans="1:97" ht="46.5" customHeight="1" thickBot="1" x14ac:dyDescent="0.75">
      <c r="C2" s="21" t="s">
        <v>322</v>
      </c>
    </row>
    <row r="3" spans="1:97" ht="30.75" customHeight="1" thickTop="1" x14ac:dyDescent="0.25"/>
    <row r="4" spans="1:97" ht="19.5" customHeight="1" x14ac:dyDescent="0.3">
      <c r="A4" s="22" t="s">
        <v>323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</row>
    <row r="5" spans="1:97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</row>
    <row r="6" spans="1:97" ht="10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</row>
    <row r="7" spans="1:97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</row>
    <row r="8" spans="1:97" ht="33" customHeight="1" x14ac:dyDescent="0.25">
      <c r="B8" s="7"/>
      <c r="C8" s="7"/>
      <c r="D8" s="17"/>
      <c r="E8" s="1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</row>
    <row r="9" spans="1:97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</row>
    <row r="10" spans="1:97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</row>
    <row r="11" spans="1:97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</row>
    <row r="12" spans="1:97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</row>
    <row r="13" spans="1:97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</row>
    <row r="14" spans="1:97" x14ac:dyDescent="0.25">
      <c r="B14" s="7"/>
      <c r="C14" s="7"/>
      <c r="D14" s="7"/>
      <c r="E14" s="7"/>
      <c r="F14" s="7"/>
      <c r="G14" s="1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</row>
    <row r="15" spans="1:97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</row>
    <row r="16" spans="1:97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</row>
    <row r="17" spans="2:97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</row>
    <row r="18" spans="2:97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</row>
    <row r="19" spans="2:97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</row>
    <row r="20" spans="2:97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</row>
    <row r="21" spans="2:97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</row>
    <row r="22" spans="2:97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</row>
    <row r="23" spans="2:97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</row>
    <row r="24" spans="2:97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</row>
    <row r="25" spans="2:97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</row>
    <row r="26" spans="2:97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</row>
    <row r="27" spans="2:97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</row>
    <row r="28" spans="2:97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</row>
    <row r="29" spans="2:97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</row>
    <row r="30" spans="2:97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</row>
    <row r="31" spans="2:97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</row>
    <row r="32" spans="2:97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</row>
    <row r="33" spans="2:97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</row>
    <row r="34" spans="2:97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</row>
    <row r="35" spans="2:97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</row>
    <row r="36" spans="2:97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</row>
    <row r="37" spans="2:97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</row>
    <row r="38" spans="2:97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</row>
    <row r="39" spans="2:97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</row>
    <row r="40" spans="2:97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</row>
    <row r="41" spans="2:97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</row>
    <row r="42" spans="2:97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</row>
    <row r="43" spans="2:97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</row>
    <row r="44" spans="2:97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</row>
    <row r="45" spans="2:97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</row>
    <row r="46" spans="2:97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</row>
    <row r="47" spans="2:97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</row>
    <row r="48" spans="2:97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</row>
    <row r="49" spans="2:97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</row>
    <row r="50" spans="2:97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</row>
    <row r="51" spans="2:97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</row>
    <row r="52" spans="2:97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</row>
    <row r="53" spans="2:97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</row>
    <row r="54" spans="2:97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</row>
    <row r="55" spans="2:97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</row>
    <row r="56" spans="2:97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</row>
    <row r="57" spans="2:97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</row>
    <row r="58" spans="2:97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</row>
    <row r="59" spans="2:97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</row>
    <row r="60" spans="2:97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</row>
    <row r="61" spans="2:97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</row>
    <row r="62" spans="2:97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</row>
    <row r="63" spans="2:97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</row>
    <row r="64" spans="2:97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</row>
    <row r="65" spans="2:97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</row>
    <row r="66" spans="2:97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</row>
    <row r="67" spans="2:97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</row>
    <row r="68" spans="2:97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</row>
    <row r="69" spans="2:97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</row>
    <row r="70" spans="2:97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</row>
    <row r="71" spans="2:97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</row>
    <row r="72" spans="2:97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</row>
    <row r="73" spans="2:97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</row>
    <row r="74" spans="2:97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</row>
    <row r="75" spans="2:97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</row>
    <row r="76" spans="2:97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</row>
    <row r="77" spans="2:97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</row>
    <row r="78" spans="2:97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</row>
    <row r="79" spans="2:97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</row>
    <row r="80" spans="2:97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</row>
    <row r="81" spans="2:97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</row>
    <row r="82" spans="2:97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</row>
    <row r="83" spans="2:97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</row>
    <row r="84" spans="2:97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</row>
    <row r="85" spans="2:97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</row>
    <row r="86" spans="2:97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</row>
    <row r="87" spans="2:97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</row>
    <row r="88" spans="2:97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</row>
    <row r="89" spans="2:97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</row>
    <row r="90" spans="2:97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</row>
    <row r="91" spans="2:97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</row>
    <row r="92" spans="2:97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</row>
    <row r="93" spans="2:97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</row>
    <row r="94" spans="2:97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</row>
    <row r="95" spans="2:97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</row>
    <row r="96" spans="2:97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</row>
    <row r="97" spans="2:97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</row>
    <row r="98" spans="2:97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</row>
    <row r="99" spans="2:97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</row>
    <row r="100" spans="2:97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</row>
    <row r="101" spans="2:97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</row>
    <row r="102" spans="2:97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</row>
    <row r="103" spans="2:97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</row>
    <row r="104" spans="2:97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</row>
    <row r="105" spans="2:97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</row>
    <row r="106" spans="2:97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</row>
    <row r="107" spans="2:97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</row>
    <row r="108" spans="2:97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</row>
    <row r="109" spans="2:97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</row>
    <row r="110" spans="2:97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</row>
    <row r="111" spans="2:97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</row>
    <row r="112" spans="2:97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</row>
    <row r="113" spans="2:97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</row>
    <row r="114" spans="2:97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</row>
    <row r="115" spans="2:97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</row>
    <row r="116" spans="2:97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</row>
    <row r="117" spans="2:97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</row>
    <row r="118" spans="2:97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</row>
    <row r="119" spans="2:97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</row>
    <row r="120" spans="2:97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</row>
    <row r="121" spans="2:97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</row>
    <row r="122" spans="2:97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</row>
    <row r="123" spans="2:97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</row>
    <row r="124" spans="2:97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</row>
    <row r="125" spans="2:97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</row>
    <row r="126" spans="2:97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</row>
    <row r="127" spans="2:97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</row>
    <row r="128" spans="2:97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</row>
    <row r="129" spans="2:97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</row>
    <row r="130" spans="2:97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</row>
    <row r="131" spans="2:97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</row>
    <row r="132" spans="2:97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</row>
    <row r="133" spans="2:97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</row>
    <row r="134" spans="2:97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</row>
    <row r="135" spans="2:97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</row>
    <row r="136" spans="2:97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</row>
    <row r="137" spans="2:97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</row>
    <row r="138" spans="2:97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</row>
    <row r="139" spans="2:97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</row>
    <row r="140" spans="2:97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</row>
    <row r="141" spans="2:97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</row>
    <row r="142" spans="2:97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</row>
    <row r="143" spans="2:97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</row>
    <row r="144" spans="2:97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</row>
    <row r="145" spans="2:97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</row>
    <row r="146" spans="2:97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</row>
    <row r="147" spans="2:97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</row>
    <row r="148" spans="2:97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</row>
    <row r="149" spans="2:97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</row>
    <row r="150" spans="2:97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</row>
    <row r="151" spans="2:97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</row>
    <row r="152" spans="2:97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</row>
    <row r="153" spans="2:97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</row>
    <row r="154" spans="2:97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</row>
    <row r="155" spans="2:97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</row>
    <row r="156" spans="2:97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</row>
    <row r="157" spans="2:97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</row>
    <row r="158" spans="2:97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</row>
    <row r="159" spans="2:97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</row>
    <row r="160" spans="2:97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</row>
    <row r="161" spans="2:97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</row>
    <row r="162" spans="2:97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</row>
    <row r="163" spans="2:97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</row>
    <row r="164" spans="2:97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</row>
    <row r="165" spans="2:97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</row>
    <row r="166" spans="2:97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</row>
    <row r="167" spans="2:97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</row>
    <row r="168" spans="2:97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</row>
    <row r="169" spans="2:97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</row>
    <row r="170" spans="2:97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</row>
    <row r="171" spans="2:97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</row>
    <row r="172" spans="2:97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</row>
    <row r="173" spans="2:97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</row>
    <row r="174" spans="2:97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</row>
    <row r="175" spans="2:97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</row>
    <row r="176" spans="2:97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</row>
    <row r="177" spans="2:97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</row>
    <row r="178" spans="2:97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</row>
    <row r="179" spans="2:97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</row>
    <row r="180" spans="2:97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</row>
    <row r="181" spans="2:97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</row>
    <row r="182" spans="2:97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</row>
    <row r="183" spans="2:97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</row>
    <row r="184" spans="2:97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</row>
    <row r="185" spans="2:97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</row>
    <row r="186" spans="2:97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</row>
    <row r="187" spans="2:97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</row>
    <row r="188" spans="2:97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</row>
    <row r="189" spans="2:97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</row>
    <row r="190" spans="2:97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</row>
    <row r="191" spans="2:97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</row>
    <row r="192" spans="2:97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</row>
    <row r="193" spans="2:97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</row>
    <row r="194" spans="2:97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</row>
    <row r="195" spans="2:97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</row>
    <row r="196" spans="2:97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</row>
    <row r="197" spans="2:97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</row>
    <row r="198" spans="2:97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</row>
    <row r="199" spans="2:97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</row>
    <row r="200" spans="2:97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</row>
    <row r="201" spans="2:97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</row>
    <row r="202" spans="2:97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</row>
    <row r="203" spans="2:97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</row>
    <row r="204" spans="2:97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</row>
    <row r="205" spans="2:97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</row>
    <row r="206" spans="2:97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</row>
    <row r="207" spans="2:97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</row>
    <row r="208" spans="2:97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</row>
    <row r="209" spans="2:97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</row>
    <row r="210" spans="2:97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</row>
    <row r="211" spans="2:97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</row>
    <row r="212" spans="2:97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</row>
    <row r="213" spans="2:97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</row>
    <row r="214" spans="2:97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</row>
    <row r="215" spans="2:97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</row>
    <row r="216" spans="2:97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</row>
    <row r="217" spans="2:97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</row>
    <row r="218" spans="2:97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</row>
    <row r="219" spans="2:97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</row>
    <row r="220" spans="2:97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</row>
    <row r="221" spans="2:97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</row>
    <row r="222" spans="2:97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</row>
    <row r="223" spans="2:97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</row>
    <row r="224" spans="2:97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</row>
    <row r="225" spans="2:97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</row>
    <row r="226" spans="2:97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</row>
    <row r="227" spans="2:97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</row>
    <row r="228" spans="2:97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</row>
    <row r="229" spans="2:97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</row>
    <row r="230" spans="2:97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</row>
    <row r="231" spans="2:97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</row>
    <row r="232" spans="2:97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</row>
    <row r="233" spans="2:97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</row>
    <row r="234" spans="2:97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</row>
    <row r="235" spans="2:97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</row>
    <row r="236" spans="2:97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</row>
    <row r="237" spans="2:97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</row>
    <row r="238" spans="2:97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</row>
    <row r="239" spans="2:97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</row>
    <row r="240" spans="2:97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</row>
    <row r="241" spans="2:97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</row>
    <row r="242" spans="2:97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</row>
    <row r="243" spans="2:97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</row>
    <row r="244" spans="2:97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</row>
    <row r="245" spans="2:97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</row>
    <row r="246" spans="2:97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</row>
    <row r="247" spans="2:97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</row>
    <row r="248" spans="2:97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</row>
    <row r="249" spans="2:97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</row>
    <row r="250" spans="2:97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</row>
    <row r="251" spans="2:97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</row>
    <row r="252" spans="2:97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</row>
    <row r="253" spans="2:97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</row>
    <row r="254" spans="2:97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</row>
    <row r="255" spans="2:97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</row>
    <row r="256" spans="2:97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</row>
    <row r="257" spans="2:97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</row>
    <row r="258" spans="2:97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</row>
    <row r="259" spans="2:97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</row>
    <row r="260" spans="2:97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</row>
    <row r="261" spans="2:97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</row>
    <row r="262" spans="2:97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</row>
    <row r="263" spans="2:97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</row>
    <row r="264" spans="2:97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</row>
    <row r="265" spans="2:97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</row>
    <row r="266" spans="2:97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</row>
    <row r="267" spans="2:97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</row>
    <row r="268" spans="2:97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</row>
    <row r="269" spans="2:97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</row>
    <row r="270" spans="2:97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</row>
    <row r="271" spans="2:97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</row>
    <row r="272" spans="2:97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</row>
    <row r="273" spans="2:97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</row>
    <row r="274" spans="2:97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</row>
    <row r="275" spans="2:97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</row>
    <row r="276" spans="2:97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</row>
    <row r="277" spans="2:97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Izael Araújo</cp:lastModifiedBy>
  <dcterms:created xsi:type="dcterms:W3CDTF">2024-12-19T13:13:10Z</dcterms:created>
  <dcterms:modified xsi:type="dcterms:W3CDTF">2025-11-11T21:47:39Z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